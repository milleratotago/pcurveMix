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rojects\P-curve_Rolf\Two-sided p-values\Simulation and Estimation\Apply Model to OSF\"/>
    </mc:Choice>
  </mc:AlternateContent>
  <xr:revisionPtr revIDLastSave="0" documentId="13_ncr:1_{B3FDDFC9-E0C9-4DC0-BE75-1656179F35F2}" xr6:coauthVersionLast="47" xr6:coauthVersionMax="47" xr10:uidLastSave="{00000000-0000-0000-0000-000000000000}"/>
  <bookViews>
    <workbookView xWindow="-27345" yWindow="-720" windowWidth="26490" windowHeight="11835" xr2:uid="{06EE6F96-38B4-4835-9461-F09F178ADC8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3" i="2" l="1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Miller</author>
    <author>tc={62619F5A-2B10-466A-860F-AC0DDEB115F9}</author>
    <author>tc={6860AB65-2DD3-4ED2-B57A-E65B4C0826AC}</author>
    <author>tc={E15C7477-18F8-4CA7-9F43-A47A5779C932}</author>
  </authors>
  <commentList>
    <comment ref="AI1" authorId="0" shapeId="0" xr:uid="{7FE91D72-C5FA-4526-B0FF-9B8232F1008A}">
      <text>
        <r>
          <rPr>
            <b/>
            <sz val="9"/>
            <color indexed="81"/>
            <rFont val="Tahoma"/>
            <family val="2"/>
          </rPr>
          <t>Jeff Miller:</t>
        </r>
        <r>
          <rPr>
            <sz val="9"/>
            <color indexed="81"/>
            <rFont val="Tahoma"/>
            <family val="2"/>
          </rPr>
          <t xml:space="preserve">
Added by JOM</t>
        </r>
      </text>
    </comment>
    <comment ref="AJ1" authorId="0" shapeId="0" xr:uid="{D181AE3F-E642-4583-86F1-3902AD34A05A}">
      <text>
        <r>
          <rPr>
            <b/>
            <sz val="9"/>
            <color indexed="81"/>
            <rFont val="Tahoma"/>
            <family val="2"/>
          </rPr>
          <t>Jeff Miller:</t>
        </r>
        <r>
          <rPr>
            <sz val="9"/>
            <color indexed="81"/>
            <rFont val="Tahoma"/>
            <family val="2"/>
          </rPr>
          <t xml:space="preserve">
Added by JOM</t>
        </r>
      </text>
    </comment>
    <comment ref="AF50" authorId="1" shapeId="0" xr:uid="{62619F5A-2B10-466A-860F-AC0DDEB115F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Filled in by JOM</t>
      </text>
    </comment>
    <comment ref="T81" authorId="2" shapeId="0" xr:uid="{6860AB65-2DD3-4ED2-B57A-E65B4C0826AC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Filled in by JOM</t>
      </text>
    </comment>
    <comment ref="AI81" authorId="3" shapeId="0" xr:uid="{E15C7477-18F8-4CA7-9F43-A47A5779C93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Filled in by JOM</t>
      </text>
    </comment>
  </commentList>
</comments>
</file>

<file path=xl/sharedStrings.xml><?xml version="1.0" encoding="utf-8"?>
<sst xmlns="http://schemas.openxmlformats.org/spreadsheetml/2006/main" count="1201" uniqueCount="278">
  <si>
    <t>Study Num</t>
  </si>
  <si>
    <t># Tails (O)</t>
  </si>
  <si>
    <t># Tails (R)</t>
  </si>
  <si>
    <t>P-value (R)</t>
  </si>
  <si>
    <t>2.2 x 10-16</t>
  </si>
  <si>
    <t>prep &gt; .99</t>
  </si>
  <si>
    <t>&lt; .0001</t>
  </si>
  <si>
    <t>X</t>
  </si>
  <si>
    <t>T_pval_USE..O.</t>
  </si>
  <si>
    <t>NA</t>
  </si>
  <si>
    <t>T_pval.recalc..R.</t>
  </si>
  <si>
    <t>T_pval_USE..R.</t>
  </si>
  <si>
    <t>Direction (R)</t>
  </si>
  <si>
    <t>same</t>
  </si>
  <si>
    <t>opposite</t>
  </si>
  <si>
    <t>Discipline (O)</t>
  </si>
  <si>
    <t>Test statistic (O)</t>
  </si>
  <si>
    <t>Reported P-value (O)</t>
  </si>
  <si>
    <t>Test statistic (R)</t>
  </si>
  <si>
    <t>Replicate (R)</t>
  </si>
  <si>
    <t>Power (R)</t>
  </si>
  <si>
    <t>T_N..O.</t>
  </si>
  <si>
    <t>T_Test.Statistic..O.</t>
  </si>
  <si>
    <t>T_TestComparison..O.</t>
  </si>
  <si>
    <t>T_df1..O.</t>
  </si>
  <si>
    <t>T_df2..O.</t>
  </si>
  <si>
    <t>T_Test.value..O.</t>
  </si>
  <si>
    <t>T_p.comparison..O.</t>
  </si>
  <si>
    <t>T_pval..O.</t>
  </si>
  <si>
    <t>T_pval.recalc..O.</t>
  </si>
  <si>
    <t>T_sign..O.</t>
  </si>
  <si>
    <t>T_r..O.</t>
  </si>
  <si>
    <t>T_N..R.</t>
  </si>
  <si>
    <t>T_Test.Statistic..R.</t>
  </si>
  <si>
    <t>T_Test.Comparison..R.</t>
  </si>
  <si>
    <t>T_df1..R.</t>
  </si>
  <si>
    <t>T_df2..R.</t>
  </si>
  <si>
    <t>T_Test.value..R.</t>
  </si>
  <si>
    <t>T_p.comparison..R.</t>
  </si>
  <si>
    <t>T_pval..R.</t>
  </si>
  <si>
    <t>T_r..R.</t>
  </si>
  <si>
    <t>Cognitive</t>
  </si>
  <si>
    <t>F(1, 13) = 7.11</t>
  </si>
  <si>
    <t>F(1,28) = 0.63</t>
  </si>
  <si>
    <t>no</t>
  </si>
  <si>
    <t>F</t>
  </si>
  <si>
    <t>is</t>
  </si>
  <si>
    <t>F(1, 23) = 13.71</t>
  </si>
  <si>
    <t>&lt;0.005</t>
  </si>
  <si>
    <t>F(1, 23) = 1.28</t>
  </si>
  <si>
    <t>&lt;</t>
  </si>
  <si>
    <t>F(1, 24) = 5.29</t>
  </si>
  <si>
    <t>&lt;0.05</t>
  </si>
  <si>
    <t>F(1, 31) = 1.506</t>
  </si>
  <si>
    <t>F(1, 190) = 10.49</t>
  </si>
  <si>
    <t>&lt;0.001</t>
  </si>
  <si>
    <t>F(1,268)=.01</t>
  </si>
  <si>
    <t>F(1,31) = 8.38</t>
  </si>
  <si>
    <t>F(1, 47) = 0.87</t>
  </si>
  <si>
    <t>t(23) = 3.55</t>
  </si>
  <si>
    <t>t(31) = 2.40</t>
  </si>
  <si>
    <t>yes</t>
  </si>
  <si>
    <t>t</t>
  </si>
  <si>
    <t>t(99) = 10.18</t>
  </si>
  <si>
    <t>t(14) = 0.496</t>
  </si>
  <si>
    <t>F(1, 37) = 17.03</t>
  </si>
  <si>
    <t>&lt;.001</t>
  </si>
  <si>
    <t>F(1, 31) = .384</t>
  </si>
  <si>
    <t>&lt;.01</t>
  </si>
  <si>
    <t>F(1, 28) = 26.69</t>
  </si>
  <si>
    <t>F(1, 29) = 45.27</t>
  </si>
  <si>
    <t>F(1, 21) = 17.3</t>
  </si>
  <si>
    <t>F (1, 29) = 8.064</t>
  </si>
  <si>
    <t>F(2, 92) = 3.13</t>
  </si>
  <si>
    <t>&lt;.05</t>
  </si>
  <si>
    <t>F(2, 232) = 1.63</t>
  </si>
  <si>
    <t>F(2, 68) = 41.59</t>
  </si>
  <si>
    <t>F(2, 68) = 41.603</t>
  </si>
  <si>
    <t>&lt;.0001</t>
  </si>
  <si>
    <t>t(94) = 1.929</t>
  </si>
  <si>
    <t>t(241) = 3.955</t>
  </si>
  <si>
    <t>F(2, 76) = 8.67</t>
  </si>
  <si>
    <t>F(1.58, 72.4) = 19.48</t>
  </si>
  <si>
    <t>F(1, 31) = 14.2</t>
  </si>
  <si>
    <t>F(1,19)=3.661</t>
  </si>
  <si>
    <t>F(1,94) = 4.97</t>
  </si>
  <si>
    <t>F(1, 106) = 0.04</t>
  </si>
  <si>
    <t>F(3, 93) = 5.23</t>
  </si>
  <si>
    <t>F(2.33, 90) = .38</t>
  </si>
  <si>
    <t>F(1, 152) = 23.176</t>
  </si>
  <si>
    <t>F(1, 48) = 4.22</t>
  </si>
  <si>
    <t>F(3, 48) = 9.14</t>
  </si>
  <si>
    <t>F(3, 59) = 5.681</t>
  </si>
  <si>
    <t>F(1, 94) = 2.5</t>
  </si>
  <si>
    <t>&gt;0.1</t>
  </si>
  <si>
    <t>F (1, 92) = 1.95</t>
  </si>
  <si>
    <t>&gt;</t>
  </si>
  <si>
    <t>F(1, 31) = 5.17</t>
  </si>
  <si>
    <t>F(1,70)=11.783</t>
  </si>
  <si>
    <t>F(1,31) = 4.1</t>
  </si>
  <si>
    <t>&lt;.06</t>
  </si>
  <si>
    <t>F1(1, 90) = .97</t>
  </si>
  <si>
    <t>t(7) = 2.892</t>
  </si>
  <si>
    <t>t(14) = 3.708</t>
  </si>
  <si>
    <t>F(1, 36) = 22.88</t>
  </si>
  <si>
    <t>F(1, 37) =11.12</t>
  </si>
  <si>
    <t>t(39) = 3.77</t>
  </si>
  <si>
    <t>t(39) = 2.08</t>
  </si>
  <si>
    <t>F(1, 20) = 20.79</t>
  </si>
  <si>
    <t>F(1, 20)=17.35</t>
  </si>
  <si>
    <t>F(1,11) = 4.8</t>
  </si>
  <si>
    <t>F(1,17)=2.37</t>
  </si>
  <si>
    <t>r</t>
  </si>
  <si>
    <t>z = 3.10</t>
  </si>
  <si>
    <t>z = 1.25</t>
  </si>
  <si>
    <t>z</t>
  </si>
  <si>
    <t>Social</t>
  </si>
  <si>
    <t>F(2, 64) = 10.17</t>
  </si>
  <si>
    <t>F(2, 72) = 1.97</t>
  </si>
  <si>
    <t>t(67) = 3.08</t>
  </si>
  <si>
    <t>t(176)= 2.016</t>
  </si>
  <si>
    <t>beta</t>
  </si>
  <si>
    <t>F(21, 230025) = 118.15</t>
  </si>
  <si>
    <t>F(21, 455304) = 261.93</t>
  </si>
  <si>
    <t>t(92)= -2.22</t>
  </si>
  <si>
    <t>t(192) = -.73</t>
  </si>
  <si>
    <t>F(1, 34) = 5.68</t>
  </si>
  <si>
    <t>F(1, 86) = .08</t>
  </si>
  <si>
    <t>F(2, 92) = 4.36</t>
  </si>
  <si>
    <t>F(2, 99) = 2.601</t>
  </si>
  <si>
    <t>F(1, 131) = 5.79</t>
  </si>
  <si>
    <t>&lt;.02</t>
  </si>
  <si>
    <t>F(1, 111) = .99</t>
  </si>
  <si>
    <t>F(1, 31) = 5.14</t>
  </si>
  <si>
    <t>F(1, 73) = 0.432</t>
  </si>
  <si>
    <t>F(2, 54) = 3.19</t>
  </si>
  <si>
    <t>F(2, 68) = .3</t>
  </si>
  <si>
    <t>F(1, 99) = 16.62</t>
  </si>
  <si>
    <t>t(38) = -0.260</t>
  </si>
  <si>
    <t>F(1, 182) = 5.24</t>
  </si>
  <si>
    <t>F(1, 278) = .376</t>
  </si>
  <si>
    <t>t(108) = -2.34</t>
  </si>
  <si>
    <t>t(220) = 0.07</t>
  </si>
  <si>
    <t>F(1, 68) = 5.52</t>
  </si>
  <si>
    <t>F(1,145) = .794</t>
  </si>
  <si>
    <t>F(2, 76) = 21.57</t>
  </si>
  <si>
    <t>F(2, 65) = 0.865</t>
  </si>
  <si>
    <t>F(1, 41) = 9.40</t>
  </si>
  <si>
    <t>F(1, 131)=.018</t>
  </si>
  <si>
    <t>Chi2</t>
  </si>
  <si>
    <t>F(1, 116) = 4.15</t>
  </si>
  <si>
    <t>F(1, 222) = 0.002</t>
  </si>
  <si>
    <t>No</t>
  </si>
  <si>
    <t>Chi</t>
  </si>
  <si>
    <t>t(373) = 4.40</t>
  </si>
  <si>
    <t>t(175) = .973</t>
  </si>
  <si>
    <t>F(1, 257) = 11.58</t>
  </si>
  <si>
    <t>F(1, 247) = .49</t>
  </si>
  <si>
    <t>X^2(1, N=37) = 3.85</t>
  </si>
  <si>
    <t>X^2(1, N=120) = 4.80</t>
  </si>
  <si>
    <t>F(1, 242) = 10.47</t>
  </si>
  <si>
    <t>_ hat = 0.4695</t>
  </si>
  <si>
    <t>F(2, 43) = 3.36</t>
  </si>
  <si>
    <t>F (2, 67) = 1.70</t>
  </si>
  <si>
    <t>F(1, 90) = 6.98</t>
  </si>
  <si>
    <t>F(1, 137) = 1.43</t>
  </si>
  <si>
    <t>r(41) = .30</t>
  </si>
  <si>
    <t>r(41) = .27</t>
  </si>
  <si>
    <t>X^2(1, N=52) = 13.18</t>
  </si>
  <si>
    <t>X^2(1, N=150) = 7.10</t>
  </si>
  <si>
    <t>F(2, 82) = 4.05</t>
  </si>
  <si>
    <t>F(2, 137) = 1.99</t>
  </si>
  <si>
    <t>F(1, 51) = 9.46</t>
  </si>
  <si>
    <t>F(1, 47)= .008</t>
  </si>
  <si>
    <t>t(26) = 0.72</t>
  </si>
  <si>
    <t>t(26) = 0.15</t>
  </si>
  <si>
    <t>t(83) = 3.05</t>
  </si>
  <si>
    <t>t(68) = -1.124</t>
  </si>
  <si>
    <t>t(26) = 1.87</t>
  </si>
  <si>
    <t>t(59)=2.325</t>
  </si>
  <si>
    <t>F(1, 73) = 12.19</t>
  </si>
  <si>
    <t>F(1,1486)=2.03</t>
  </si>
  <si>
    <t>X^2(1, N=236) = 3.83</t>
  </si>
  <si>
    <t>X^2(1, N = 1146) = .387</t>
  </si>
  <si>
    <t>F(1, 34) = 5.8</t>
  </si>
  <si>
    <t>t(45) = 1.534</t>
  </si>
  <si>
    <t>t(84) = 2.09</t>
  </si>
  <si>
    <t>prep = .92</t>
  </si>
  <si>
    <t>t(156) = 1.318</t>
  </si>
  <si>
    <t>prep</t>
  </si>
  <si>
    <t>F(1, 278) = 123.38</t>
  </si>
  <si>
    <t>F(1, 142) = 1.19</t>
  </si>
  <si>
    <t>F(1, 55) = 6.88</t>
  </si>
  <si>
    <t>prep = .947</t>
  </si>
  <si>
    <t>F(1,116) = 6.28</t>
  </si>
  <si>
    <t>F(1, 9) = 8.7</t>
  </si>
  <si>
    <t>F(1, 9) = 11.6</t>
  </si>
  <si>
    <t>t(124) =10.36</t>
  </si>
  <si>
    <t>t(175) = 15.64</t>
  </si>
  <si>
    <t>prep &gt;</t>
  </si>
  <si>
    <t>F(1,30) = 14.49</t>
  </si>
  <si>
    <t>prep = .99</t>
  </si>
  <si>
    <t>F (1,30) = 22.27</t>
  </si>
  <si>
    <t>t(31) = 3.23</t>
  </si>
  <si>
    <t>prep = .97</t>
  </si>
  <si>
    <t>t(7) = -1.426</t>
  </si>
  <si>
    <t>t(172) = 3.94</t>
  </si>
  <si>
    <t>t(139) = 4.02</t>
  </si>
  <si>
    <t>F(18, 660) = 16.31</t>
  </si>
  <si>
    <t>&lt;.00001</t>
  </si>
  <si>
    <t>F(18, 660) = 12.98</t>
  </si>
  <si>
    <t>F(1, 111) = 5.311</t>
  </si>
  <si>
    <t>F(1, 158) = 0.379</t>
  </si>
  <si>
    <t>r = -.38</t>
  </si>
  <si>
    <t>r = -.25</t>
  </si>
  <si>
    <t>t(11) = 5.39</t>
  </si>
  <si>
    <t>z = 5.43</t>
  </si>
  <si>
    <t>t(7) = 2.76</t>
  </si>
  <si>
    <t>t(16)= -9.59</t>
  </si>
  <si>
    <t>F(1, 34) = 5.89</t>
  </si>
  <si>
    <t>prep = .93</t>
  </si>
  <si>
    <t>F(1, 68) = 0.08</t>
  </si>
  <si>
    <t>t(28) = -4.978</t>
  </si>
  <si>
    <t>t(25)=-3.103</t>
  </si>
  <si>
    <t>F(1, 26) = 4.17</t>
  </si>
  <si>
    <t>F(1, 64) = .02</t>
  </si>
  <si>
    <t>F(3, 69) = 5.15</t>
  </si>
  <si>
    <t>&lt;.005</t>
  </si>
  <si>
    <t>F(1.48, 41.458) = 1.401</t>
  </si>
  <si>
    <t>F(1, 23) = 5.7</t>
  </si>
  <si>
    <t>"significant"</t>
  </si>
  <si>
    <t>F(1, 37) = 8.08</t>
  </si>
  <si>
    <t>significant</t>
  </si>
  <si>
    <t>pr = .21</t>
  </si>
  <si>
    <t>pr = 0.497</t>
  </si>
  <si>
    <t>t(562) = -0.11</t>
  </si>
  <si>
    <t>prep = .18</t>
  </si>
  <si>
    <t>t(3511.1) = -6.31</t>
  </si>
  <si>
    <t>t(28) = 3.04</t>
  </si>
  <si>
    <t>t(56) = -.77</t>
  </si>
  <si>
    <t>F(3, 9) = 8.5</t>
  </si>
  <si>
    <t>F(3,12)= 13.06</t>
  </si>
  <si>
    <t>F(2, 81) = 4.97</t>
  </si>
  <si>
    <t>prep = .95</t>
  </si>
  <si>
    <t>F(2,122) = 0.24</t>
  </si>
  <si>
    <t>F(2, 162) = 192.89</t>
  </si>
  <si>
    <t>F(2, 174) = 252.83</t>
  </si>
  <si>
    <t>F(4, 108) = 3.67</t>
  </si>
  <si>
    <t>F(4, 150) = .58</t>
  </si>
  <si>
    <t>F(1, 76) = 109.74</t>
  </si>
  <si>
    <t>F(1, 36) = 26.76</t>
  </si>
  <si>
    <t>t(14) = 3.2</t>
  </si>
  <si>
    <t>&lt;.007</t>
  </si>
  <si>
    <t>t(11) = 1.9</t>
  </si>
  <si>
    <t>F(1, 194) = 7.16</t>
  </si>
  <si>
    <t>F(1,259) = 0.236</t>
  </si>
  <si>
    <t>F(1,314) = 0.105</t>
  </si>
  <si>
    <t>F(1, 13) = 14.2</t>
  </si>
  <si>
    <t>F(1,18)=0.81</t>
  </si>
  <si>
    <t>F(1, 41) = 7.81</t>
  </si>
  <si>
    <t>F(1, 124) = 0.001</t>
  </si>
  <si>
    <t>t(7) = 4.45</t>
  </si>
  <si>
    <t>t(7) = 0.32</t>
  </si>
  <si>
    <t>r = -0.43</t>
  </si>
  <si>
    <t>r=.-11</t>
  </si>
  <si>
    <t>r = -.31</t>
  </si>
  <si>
    <t>r = 0.034</t>
  </si>
  <si>
    <t>F(1, 38) = 6.21</t>
  </si>
  <si>
    <t>prep = .927</t>
  </si>
  <si>
    <t>F(1, 93)=18.94</t>
  </si>
  <si>
    <t>F(1, 44) = 13.42</t>
  </si>
  <si>
    <t>F(1, 44) = 1.437</t>
  </si>
  <si>
    <t>X^2(1, N=56) = 4.51</t>
  </si>
  <si>
    <t>X^2(1, N = 51) = 1.57</t>
  </si>
  <si>
    <t>F(1, 17) = 9.33</t>
  </si>
  <si>
    <t>F(1, 21) = 1.45</t>
  </si>
  <si>
    <t>p_o_2t</t>
  </si>
  <si>
    <t>p_r_1t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</si>
</sst>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9"/>
      <color indexed="81"/>
      <name val="Tahoma"/>
      <family val="2"/>
    </font>
    <font>
      <sz val="14"/>
      <name val="Aptos Narrow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1" fillId="2" borderId="0" xfId="0" applyFont="1" applyFill="1"/>
    <xf numFmtId="0" fontId="2" fillId="0" borderId="0" xfId="0" applyFont="1"/>
    <xf numFmtId="11" fontId="1" fillId="2" borderId="0" xfId="0" applyNumberFormat="1" applyFont="1" applyFill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/>
    <xf numFmtId="11" fontId="1" fillId="3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f Miller" id="{B051859A-AA87-40AD-A521-D727C90FE7C6}" userId="1f1cba9e85a45fc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50" dT="2026-05-19T22:27:47.15" personId="{B051859A-AA87-40AD-A521-D727C90FE7C6}" id="{62619F5A-2B10-466A-860F-AC0DDEB115F9}">
    <text>Filled in by JOM</text>
  </threadedComment>
  <threadedComment ref="T81" dT="2026-05-19T22:29:13.51" personId="{B051859A-AA87-40AD-A521-D727C90FE7C6}" id="{6860AB65-2DD3-4ED2-B57A-E65B4C0826AC}">
    <text>Filled in by JOM</text>
  </threadedComment>
  <threadedComment ref="AI81" dT="2026-05-19T22:29:13.51" personId="{B051859A-AA87-40AD-A521-D727C90FE7C6}" id="{E15C7477-18F8-4CA7-9F43-A47A5779C932}">
    <text>Filled in by JOM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0801-2E95-45FC-B979-89060F961820}">
  <dimension ref="A1:CD100"/>
  <sheetViews>
    <sheetView tabSelected="1" workbookViewId="0">
      <pane ySplit="1" topLeftCell="A92" activePane="bottomLeft" state="frozen"/>
      <selection pane="bottomLeft" activeCell="A101" sqref="A101:XFD182"/>
    </sheetView>
  </sheetViews>
  <sheetFormatPr defaultRowHeight="18.75" x14ac:dyDescent="0.3"/>
  <cols>
    <col min="1" max="1" width="13.42578125" style="1" bestFit="1" customWidth="1"/>
    <col min="2" max="2" width="16.85546875" style="1" bestFit="1" customWidth="1"/>
    <col min="3" max="3" width="28" style="1" bestFit="1" customWidth="1"/>
    <col min="4" max="4" width="24.85546875" style="1" bestFit="1" customWidth="1"/>
    <col min="5" max="5" width="12.28515625" style="1" bestFit="1" customWidth="1"/>
    <col min="6" max="6" width="12" style="1" bestFit="1" customWidth="1"/>
    <col min="7" max="7" width="28.140625" style="1" bestFit="1" customWidth="1"/>
    <col min="8" max="8" width="13.85546875" style="1" bestFit="1" customWidth="1"/>
    <col min="9" max="9" width="15.5703125" style="1" bestFit="1" customWidth="1"/>
    <col min="10" max="10" width="15.85546875" style="1" bestFit="1" customWidth="1"/>
    <col min="11" max="11" width="12" style="1" bestFit="1" customWidth="1"/>
    <col min="12" max="12" width="9.85546875" style="1" bestFit="1" customWidth="1"/>
    <col min="13" max="13" width="23" style="1" bestFit="1" customWidth="1"/>
    <col min="14" max="14" width="26.85546875" style="1" bestFit="1" customWidth="1"/>
    <col min="15" max="16" width="11.42578125" style="1" bestFit="1" customWidth="1"/>
    <col min="17" max="17" width="19.5703125" style="1" bestFit="1" customWidth="1"/>
    <col min="18" max="18" width="23.5703125" style="1" bestFit="1" customWidth="1"/>
    <col min="19" max="19" width="12.28515625" style="1" bestFit="1" customWidth="1"/>
    <col min="20" max="20" width="20.140625" style="1" bestFit="1" customWidth="1"/>
    <col min="21" max="21" width="18.28515625" style="1" bestFit="1" customWidth="1"/>
    <col min="22" max="22" width="12.42578125" style="1" bestFit="1" customWidth="1"/>
    <col min="23" max="23" width="17.140625" style="1" bestFit="1" customWidth="1"/>
    <col min="24" max="24" width="9.85546875" style="1" bestFit="1" customWidth="1"/>
    <col min="25" max="25" width="22.7109375" style="1" bestFit="1" customWidth="1"/>
    <col min="26" max="26" width="27.28515625" style="1" bestFit="1" customWidth="1"/>
    <col min="27" max="28" width="11.140625" style="1" bestFit="1" customWidth="1"/>
    <col min="29" max="29" width="19.28515625" style="1" bestFit="1" customWidth="1"/>
    <col min="30" max="30" width="23.28515625" style="1" bestFit="1" customWidth="1"/>
    <col min="31" max="31" width="12.7109375" style="1" bestFit="1" customWidth="1"/>
    <col min="32" max="32" width="19.85546875" style="1" bestFit="1" customWidth="1"/>
    <col min="33" max="33" width="18" style="1" bestFit="1" customWidth="1"/>
    <col min="34" max="34" width="18.140625" style="1" bestFit="1" customWidth="1"/>
    <col min="35" max="35" width="20.140625" style="1" bestFit="1" customWidth="1"/>
    <col min="36" max="36" width="17.5703125" style="1" customWidth="1"/>
    <col min="37" max="16384" width="9.140625" style="1"/>
  </cols>
  <sheetData>
    <row r="1" spans="1:82" s="4" customFormat="1" x14ac:dyDescent="0.3">
      <c r="A1" s="4" t="s">
        <v>0</v>
      </c>
      <c r="B1" s="4" t="s">
        <v>15</v>
      </c>
      <c r="C1" s="4" t="s">
        <v>16</v>
      </c>
      <c r="D1" s="4" t="s">
        <v>17</v>
      </c>
      <c r="E1" s="4" t="s">
        <v>1</v>
      </c>
      <c r="F1" s="4" t="s">
        <v>2</v>
      </c>
      <c r="G1" s="4" t="s">
        <v>18</v>
      </c>
      <c r="H1" s="4" t="s">
        <v>3</v>
      </c>
      <c r="I1" s="4" t="s">
        <v>12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8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10</v>
      </c>
      <c r="AG1" s="4" t="s">
        <v>11</v>
      </c>
      <c r="AH1" s="4" t="s">
        <v>40</v>
      </c>
      <c r="AI1" s="8" t="s">
        <v>276</v>
      </c>
      <c r="AJ1" s="9" t="s">
        <v>277</v>
      </c>
    </row>
    <row r="2" spans="1:82" s="10" customFormat="1" x14ac:dyDescent="0.3">
      <c r="A2" s="1">
        <v>1</v>
      </c>
      <c r="B2" s="1" t="s">
        <v>41</v>
      </c>
      <c r="C2" s="1" t="s">
        <v>42</v>
      </c>
      <c r="D2" s="1">
        <v>0.02</v>
      </c>
      <c r="E2" s="1"/>
      <c r="F2" s="1"/>
      <c r="G2" s="1" t="s">
        <v>43</v>
      </c>
      <c r="H2" s="1">
        <v>0.435</v>
      </c>
      <c r="I2" s="1" t="s">
        <v>13</v>
      </c>
      <c r="J2" s="1" t="s">
        <v>44</v>
      </c>
      <c r="K2" s="1">
        <v>0.99</v>
      </c>
      <c r="L2" s="1">
        <v>24</v>
      </c>
      <c r="M2" s="1" t="s">
        <v>45</v>
      </c>
      <c r="N2" s="1" t="s">
        <v>46</v>
      </c>
      <c r="O2" s="1">
        <v>1</v>
      </c>
      <c r="P2" s="1">
        <v>13</v>
      </c>
      <c r="Q2" s="1">
        <v>7.11</v>
      </c>
      <c r="R2" s="1" t="s">
        <v>46</v>
      </c>
      <c r="S2" s="1">
        <v>0.02</v>
      </c>
      <c r="T2" s="1">
        <v>1.9394663999999999E-2</v>
      </c>
      <c r="U2" s="1">
        <v>1.9394663999999999E-2</v>
      </c>
      <c r="V2" s="1"/>
      <c r="W2" s="1">
        <v>0.59460528499999998</v>
      </c>
      <c r="X2" s="1">
        <v>29</v>
      </c>
      <c r="Y2" s="1" t="s">
        <v>45</v>
      </c>
      <c r="Z2" s="1" t="s">
        <v>46</v>
      </c>
      <c r="AA2" s="1">
        <v>1</v>
      </c>
      <c r="AB2" s="1">
        <v>28</v>
      </c>
      <c r="AC2" s="1">
        <v>0.63</v>
      </c>
      <c r="AD2" s="1" t="s">
        <v>46</v>
      </c>
      <c r="AE2" s="1">
        <v>0.435</v>
      </c>
      <c r="AF2" s="1">
        <v>0.43403072500000001</v>
      </c>
      <c r="AG2" s="1">
        <v>0.43403072500000001</v>
      </c>
      <c r="AH2" s="1">
        <v>0.14834045300000001</v>
      </c>
      <c r="AI2" s="1">
        <v>1.9394663999999999E-2</v>
      </c>
      <c r="AJ2" s="1">
        <f t="shared" ref="AJ2:AJ33" si="0">IF(I2="same",AF2/2,1-AF2/2)</f>
        <v>0.2170153625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s="10" customFormat="1" x14ac:dyDescent="0.3">
      <c r="A3" s="1">
        <v>2</v>
      </c>
      <c r="B3" s="1" t="s">
        <v>41</v>
      </c>
      <c r="C3" s="1" t="s">
        <v>47</v>
      </c>
      <c r="D3" s="1" t="s">
        <v>48</v>
      </c>
      <c r="E3" s="1">
        <v>2</v>
      </c>
      <c r="F3" s="1">
        <v>2</v>
      </c>
      <c r="G3" s="1" t="s">
        <v>49</v>
      </c>
      <c r="H3" s="1">
        <v>0.26900000000000002</v>
      </c>
      <c r="I3" s="1" t="s">
        <v>13</v>
      </c>
      <c r="J3" s="1" t="s">
        <v>44</v>
      </c>
      <c r="K3" s="1">
        <v>0.95</v>
      </c>
      <c r="L3" s="1">
        <v>24</v>
      </c>
      <c r="M3" s="1" t="s">
        <v>45</v>
      </c>
      <c r="N3" s="1" t="s">
        <v>46</v>
      </c>
      <c r="O3" s="1">
        <v>1</v>
      </c>
      <c r="P3" s="1">
        <v>23</v>
      </c>
      <c r="Q3" s="1">
        <v>13.71</v>
      </c>
      <c r="R3" s="1" t="s">
        <v>50</v>
      </c>
      <c r="S3" s="1">
        <v>5.0000000000000001E-3</v>
      </c>
      <c r="T3" s="1">
        <v>1.1734709999999999E-3</v>
      </c>
      <c r="U3" s="1">
        <v>1.1734709999999999E-3</v>
      </c>
      <c r="V3" s="1"/>
      <c r="W3" s="1">
        <v>0.61112005400000002</v>
      </c>
      <c r="X3" s="1">
        <v>24</v>
      </c>
      <c r="Y3" s="1" t="s">
        <v>45</v>
      </c>
      <c r="Z3" s="1" t="s">
        <v>46</v>
      </c>
      <c r="AA3" s="1">
        <v>1</v>
      </c>
      <c r="AB3" s="1">
        <v>23</v>
      </c>
      <c r="AC3" s="1">
        <v>1.28</v>
      </c>
      <c r="AD3" s="1" t="s">
        <v>46</v>
      </c>
      <c r="AE3" s="1">
        <v>0.26900000000000002</v>
      </c>
      <c r="AF3" s="1">
        <v>0.26955806799999998</v>
      </c>
      <c r="AG3" s="1">
        <v>0.26955806799999998</v>
      </c>
      <c r="AH3" s="1">
        <v>0.229604631</v>
      </c>
      <c r="AI3" s="1">
        <v>1.1734709999999999E-3</v>
      </c>
      <c r="AJ3" s="1">
        <f t="shared" si="0"/>
        <v>0.13477903399999999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s="10" customFormat="1" x14ac:dyDescent="0.3">
      <c r="A4" s="10">
        <v>3</v>
      </c>
      <c r="B4" s="10" t="s">
        <v>41</v>
      </c>
      <c r="C4" s="10" t="s">
        <v>51</v>
      </c>
      <c r="D4" s="10" t="s">
        <v>52</v>
      </c>
      <c r="E4" s="10">
        <v>2</v>
      </c>
      <c r="G4" s="10" t="s">
        <v>53</v>
      </c>
      <c r="H4" s="10">
        <v>0.22900000000000001</v>
      </c>
      <c r="I4" s="10" t="s">
        <v>14</v>
      </c>
      <c r="J4" s="10" t="s">
        <v>44</v>
      </c>
      <c r="K4" s="10">
        <v>0.95</v>
      </c>
      <c r="L4" s="10">
        <v>25</v>
      </c>
      <c r="M4" s="10" t="s">
        <v>45</v>
      </c>
      <c r="N4" s="10" t="s">
        <v>46</v>
      </c>
      <c r="O4" s="10">
        <v>1</v>
      </c>
      <c r="P4" s="10">
        <v>24</v>
      </c>
      <c r="Q4" s="10">
        <v>5.29</v>
      </c>
      <c r="R4" s="10" t="s">
        <v>50</v>
      </c>
      <c r="S4" s="10">
        <v>0.05</v>
      </c>
      <c r="T4" s="10">
        <v>3.0449585000000001E-2</v>
      </c>
      <c r="U4" s="10">
        <v>3.0449585000000001E-2</v>
      </c>
      <c r="W4" s="10">
        <v>0.42497966500000001</v>
      </c>
      <c r="X4" s="10">
        <v>32</v>
      </c>
      <c r="Y4" s="10" t="s">
        <v>45</v>
      </c>
      <c r="Z4" s="10" t="s">
        <v>46</v>
      </c>
      <c r="AA4" s="10">
        <v>1</v>
      </c>
      <c r="AB4" s="10">
        <v>31</v>
      </c>
      <c r="AC4" s="10">
        <v>1.506</v>
      </c>
      <c r="AD4" s="10" t="s">
        <v>46</v>
      </c>
      <c r="AE4" s="10">
        <v>0.22900000000000001</v>
      </c>
      <c r="AF4" s="10">
        <v>0.22898882700000001</v>
      </c>
      <c r="AG4" s="10">
        <v>0.22898882700000001</v>
      </c>
      <c r="AH4" s="10">
        <v>-0.21524383499999999</v>
      </c>
      <c r="AI4" s="10">
        <v>3.0449585000000001E-2</v>
      </c>
      <c r="AJ4" s="10">
        <f t="shared" si="0"/>
        <v>0.8855055865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s="10" customFormat="1" x14ac:dyDescent="0.3">
      <c r="A5" s="10">
        <v>4</v>
      </c>
      <c r="B5" s="10" t="s">
        <v>41</v>
      </c>
      <c r="C5" s="10" t="s">
        <v>54</v>
      </c>
      <c r="D5" s="10" t="s">
        <v>55</v>
      </c>
      <c r="G5" s="10" t="s">
        <v>56</v>
      </c>
      <c r="H5" s="10">
        <v>0.94</v>
      </c>
      <c r="I5" s="10" t="s">
        <v>14</v>
      </c>
      <c r="J5" s="10" t="s">
        <v>44</v>
      </c>
      <c r="K5" s="10">
        <v>0.96</v>
      </c>
      <c r="L5" s="10">
        <v>240</v>
      </c>
      <c r="M5" s="10" t="s">
        <v>45</v>
      </c>
      <c r="N5" s="10" t="s">
        <v>46</v>
      </c>
      <c r="O5" s="10">
        <v>1</v>
      </c>
      <c r="P5" s="10">
        <v>190</v>
      </c>
      <c r="Q5" s="10">
        <v>10.49</v>
      </c>
      <c r="R5" s="10" t="s">
        <v>50</v>
      </c>
      <c r="S5" s="10">
        <v>1E-3</v>
      </c>
      <c r="T5" s="10">
        <v>1.41669E-3</v>
      </c>
      <c r="U5" s="10">
        <v>1.41669E-3</v>
      </c>
      <c r="W5" s="10">
        <v>0.22873961500000001</v>
      </c>
      <c r="X5" s="10">
        <v>270</v>
      </c>
      <c r="Y5" s="10" t="s">
        <v>45</v>
      </c>
      <c r="Z5" s="10" t="s">
        <v>46</v>
      </c>
      <c r="AA5" s="10">
        <v>1</v>
      </c>
      <c r="AB5" s="10">
        <v>268</v>
      </c>
      <c r="AC5" s="10">
        <v>0.01</v>
      </c>
      <c r="AD5" s="10" t="s">
        <v>46</v>
      </c>
      <c r="AE5" s="10">
        <v>0.94</v>
      </c>
      <c r="AF5" s="10">
        <v>0.92041908900000002</v>
      </c>
      <c r="AG5" s="10">
        <v>0.92041908900000002</v>
      </c>
      <c r="AH5" s="10">
        <v>-6.1083580000000004E-3</v>
      </c>
      <c r="AI5" s="10">
        <v>1.41669E-3</v>
      </c>
      <c r="AJ5" s="10">
        <f t="shared" si="0"/>
        <v>0.53979045549999993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s="10" customFormat="1" x14ac:dyDescent="0.3">
      <c r="A6" s="1">
        <v>5</v>
      </c>
      <c r="B6" s="1" t="s">
        <v>41</v>
      </c>
      <c r="C6" s="1" t="s">
        <v>57</v>
      </c>
      <c r="D6" s="1" t="s">
        <v>7</v>
      </c>
      <c r="E6" s="1">
        <v>2</v>
      </c>
      <c r="F6" s="1">
        <v>2</v>
      </c>
      <c r="G6" s="1" t="s">
        <v>58</v>
      </c>
      <c r="H6" s="1">
        <v>0.33500000000000002</v>
      </c>
      <c r="I6" s="1" t="s">
        <v>13</v>
      </c>
      <c r="J6" s="1" t="s">
        <v>44</v>
      </c>
      <c r="K6" s="1">
        <v>0.93</v>
      </c>
      <c r="L6" s="1">
        <v>32</v>
      </c>
      <c r="M6" s="1" t="s">
        <v>45</v>
      </c>
      <c r="N6" s="1" t="s">
        <v>46</v>
      </c>
      <c r="O6" s="1">
        <v>1</v>
      </c>
      <c r="P6" s="1">
        <v>31</v>
      </c>
      <c r="Q6" s="1">
        <v>8.3800000000000008</v>
      </c>
      <c r="R6" s="1"/>
      <c r="S6" s="1"/>
      <c r="T6" s="1">
        <v>6.8911500000000004E-3</v>
      </c>
      <c r="U6" s="1">
        <v>6.8911500000000004E-3</v>
      </c>
      <c r="V6" s="1"/>
      <c r="W6" s="1">
        <v>0.46130074199999999</v>
      </c>
      <c r="X6" s="1">
        <v>48</v>
      </c>
      <c r="Y6" s="1" t="s">
        <v>45</v>
      </c>
      <c r="Z6" s="1" t="s">
        <v>46</v>
      </c>
      <c r="AA6" s="1">
        <v>1</v>
      </c>
      <c r="AB6" s="1">
        <v>47</v>
      </c>
      <c r="AC6" s="1">
        <v>0.87</v>
      </c>
      <c r="AD6" s="1" t="s">
        <v>46</v>
      </c>
      <c r="AE6" s="1">
        <v>0.33500000000000002</v>
      </c>
      <c r="AF6" s="1">
        <v>0.355722382</v>
      </c>
      <c r="AG6" s="1">
        <v>0.355722382</v>
      </c>
      <c r="AH6" s="1">
        <v>0.13481180200000001</v>
      </c>
      <c r="AI6" s="1">
        <v>6.8911500000000004E-3</v>
      </c>
      <c r="AJ6" s="1">
        <f t="shared" si="0"/>
        <v>0.177861191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s="10" customFormat="1" x14ac:dyDescent="0.3">
      <c r="A7" s="1">
        <v>6</v>
      </c>
      <c r="B7" s="1" t="s">
        <v>41</v>
      </c>
      <c r="C7" s="1" t="s">
        <v>59</v>
      </c>
      <c r="D7" s="1">
        <v>2E-3</v>
      </c>
      <c r="E7" s="1">
        <v>2</v>
      </c>
      <c r="F7" s="1">
        <v>2</v>
      </c>
      <c r="G7" s="1" t="s">
        <v>60</v>
      </c>
      <c r="H7" s="1">
        <v>2.3E-2</v>
      </c>
      <c r="I7" s="1" t="s">
        <v>13</v>
      </c>
      <c r="J7" s="1" t="s">
        <v>61</v>
      </c>
      <c r="K7" s="1">
        <v>0.98</v>
      </c>
      <c r="L7" s="1">
        <v>24</v>
      </c>
      <c r="M7" s="1" t="s">
        <v>62</v>
      </c>
      <c r="N7" s="1" t="s">
        <v>46</v>
      </c>
      <c r="O7" s="1">
        <v>1</v>
      </c>
      <c r="P7" s="1">
        <v>23</v>
      </c>
      <c r="Q7" s="1">
        <v>3.55</v>
      </c>
      <c r="R7" s="1" t="s">
        <v>46</v>
      </c>
      <c r="S7" s="1">
        <v>2E-3</v>
      </c>
      <c r="T7" s="1">
        <v>1.7065660000000001E-3</v>
      </c>
      <c r="U7" s="1">
        <v>1.7065660000000001E-3</v>
      </c>
      <c r="V7" s="1"/>
      <c r="W7" s="1">
        <v>0.59496046199999997</v>
      </c>
      <c r="X7" s="1">
        <v>32</v>
      </c>
      <c r="Y7" s="1" t="s">
        <v>62</v>
      </c>
      <c r="Z7" s="1" t="s">
        <v>46</v>
      </c>
      <c r="AA7" s="1">
        <v>1</v>
      </c>
      <c r="AB7" s="1">
        <v>31</v>
      </c>
      <c r="AC7" s="1">
        <v>2.4</v>
      </c>
      <c r="AD7" s="1" t="s">
        <v>46</v>
      </c>
      <c r="AE7" s="1">
        <v>2.3E-2</v>
      </c>
      <c r="AF7" s="1">
        <v>2.2589339999999999E-2</v>
      </c>
      <c r="AG7" s="1">
        <v>2.2589339999999999E-2</v>
      </c>
      <c r="AH7" s="1">
        <v>0.395843475</v>
      </c>
      <c r="AI7" s="1">
        <v>1.7065660000000001E-3</v>
      </c>
      <c r="AJ7" s="1">
        <f t="shared" si="0"/>
        <v>1.129467E-2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s="10" customFormat="1" x14ac:dyDescent="0.3">
      <c r="A8" s="3">
        <v>7</v>
      </c>
      <c r="B8" s="3" t="s">
        <v>41</v>
      </c>
      <c r="C8" s="3" t="s">
        <v>63</v>
      </c>
      <c r="D8" s="3" t="s">
        <v>52</v>
      </c>
      <c r="E8" s="3">
        <v>1</v>
      </c>
      <c r="F8" s="3">
        <v>1</v>
      </c>
      <c r="G8" s="3" t="s">
        <v>64</v>
      </c>
      <c r="H8" s="3">
        <v>0.314</v>
      </c>
      <c r="I8" s="3" t="s">
        <v>13</v>
      </c>
      <c r="J8" s="3" t="s">
        <v>44</v>
      </c>
      <c r="K8" s="3">
        <v>0.95</v>
      </c>
      <c r="L8" s="3">
        <v>100</v>
      </c>
      <c r="M8" s="3" t="s">
        <v>62</v>
      </c>
      <c r="N8" s="3" t="s">
        <v>46</v>
      </c>
      <c r="O8" s="3">
        <v>1</v>
      </c>
      <c r="P8" s="3">
        <v>99</v>
      </c>
      <c r="Q8" s="3">
        <v>10.18</v>
      </c>
      <c r="R8" s="3" t="s">
        <v>50</v>
      </c>
      <c r="S8" s="3">
        <v>0.05</v>
      </c>
      <c r="T8" s="5">
        <v>4.43E-17</v>
      </c>
      <c r="U8" s="5">
        <v>2.2199999999999999E-17</v>
      </c>
      <c r="V8" s="3"/>
      <c r="W8" s="3">
        <v>0.71514372800000003</v>
      </c>
      <c r="X8" s="3">
        <v>15</v>
      </c>
      <c r="Y8" s="3" t="s">
        <v>62</v>
      </c>
      <c r="Z8" s="3" t="s">
        <v>46</v>
      </c>
      <c r="AA8" s="3">
        <v>1</v>
      </c>
      <c r="AB8" s="3">
        <v>14</v>
      </c>
      <c r="AC8" s="3">
        <v>0.496</v>
      </c>
      <c r="AD8" s="3" t="s">
        <v>46</v>
      </c>
      <c r="AE8" s="3">
        <v>0.314</v>
      </c>
      <c r="AF8" s="3">
        <v>0.62759016599999995</v>
      </c>
      <c r="AG8" s="3">
        <v>0.31379508299999997</v>
      </c>
      <c r="AH8" s="3">
        <v>0.13141198100000001</v>
      </c>
      <c r="AI8" s="5">
        <v>4.43E-17</v>
      </c>
      <c r="AJ8" s="3">
        <f t="shared" si="0"/>
        <v>0.31379508299999997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s="10" customFormat="1" x14ac:dyDescent="0.3">
      <c r="A9" s="10">
        <v>8</v>
      </c>
      <c r="B9" s="10" t="s">
        <v>41</v>
      </c>
      <c r="C9" s="10" t="s">
        <v>65</v>
      </c>
      <c r="D9" s="10" t="s">
        <v>66</v>
      </c>
      <c r="G9" s="10" t="s">
        <v>67</v>
      </c>
      <c r="H9" s="10">
        <v>0.54</v>
      </c>
      <c r="I9" s="10" t="s">
        <v>14</v>
      </c>
      <c r="J9" s="10" t="s">
        <v>44</v>
      </c>
      <c r="K9" s="10">
        <v>0.95</v>
      </c>
      <c r="L9" s="10">
        <v>48</v>
      </c>
      <c r="M9" s="10" t="s">
        <v>45</v>
      </c>
      <c r="N9" s="10" t="s">
        <v>46</v>
      </c>
      <c r="O9" s="10">
        <v>1</v>
      </c>
      <c r="P9" s="10">
        <v>37</v>
      </c>
      <c r="Q9" s="10">
        <v>17.03</v>
      </c>
      <c r="R9" s="10" t="s">
        <v>50</v>
      </c>
      <c r="S9" s="10">
        <v>1E-3</v>
      </c>
      <c r="T9" s="10">
        <v>2.0044099999999999E-4</v>
      </c>
      <c r="U9" s="10">
        <v>2.0044099999999999E-4</v>
      </c>
      <c r="W9" s="10">
        <v>0.56142253399999997</v>
      </c>
      <c r="X9" s="10">
        <v>33</v>
      </c>
      <c r="Y9" s="10" t="s">
        <v>45</v>
      </c>
      <c r="Z9" s="10" t="s">
        <v>46</v>
      </c>
      <c r="AA9" s="10">
        <v>1</v>
      </c>
      <c r="AB9" s="10">
        <v>31</v>
      </c>
      <c r="AC9" s="10">
        <v>0.38400000000000001</v>
      </c>
      <c r="AD9" s="10" t="s">
        <v>46</v>
      </c>
      <c r="AE9" s="10">
        <v>0.54</v>
      </c>
      <c r="AF9" s="10">
        <v>0.539998592</v>
      </c>
      <c r="AG9" s="10">
        <v>0.539998592</v>
      </c>
      <c r="AH9" s="10">
        <v>-0.110614348</v>
      </c>
      <c r="AI9" s="10">
        <v>2.0044099999999999E-4</v>
      </c>
      <c r="AJ9" s="10">
        <f t="shared" si="0"/>
        <v>0.73000070400000006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s="10" customFormat="1" x14ac:dyDescent="0.3">
      <c r="A10" s="1">
        <v>10</v>
      </c>
      <c r="B10" s="1" t="s">
        <v>41</v>
      </c>
      <c r="C10" s="1" t="s">
        <v>69</v>
      </c>
      <c r="D10" s="1" t="s">
        <v>66</v>
      </c>
      <c r="E10" s="1">
        <v>2</v>
      </c>
      <c r="F10" s="1">
        <v>2</v>
      </c>
      <c r="G10" s="1" t="s">
        <v>70</v>
      </c>
      <c r="H10" s="1">
        <v>1E-3</v>
      </c>
      <c r="I10" s="1" t="s">
        <v>13</v>
      </c>
      <c r="J10" s="1" t="s">
        <v>61</v>
      </c>
      <c r="K10" s="1">
        <v>0.95</v>
      </c>
      <c r="L10" s="1">
        <v>32</v>
      </c>
      <c r="M10" s="1" t="s">
        <v>45</v>
      </c>
      <c r="N10" s="1" t="s">
        <v>46</v>
      </c>
      <c r="O10" s="1">
        <v>1</v>
      </c>
      <c r="P10" s="1">
        <v>28</v>
      </c>
      <c r="Q10" s="1">
        <v>26.69</v>
      </c>
      <c r="R10" s="1" t="s">
        <v>50</v>
      </c>
      <c r="S10" s="2">
        <v>1E-3</v>
      </c>
      <c r="T10" s="2">
        <v>1.7600000000000001E-5</v>
      </c>
      <c r="U10" s="2">
        <v>1.7600000000000001E-5</v>
      </c>
      <c r="V10" s="1"/>
      <c r="W10" s="1">
        <v>0.69858671900000002</v>
      </c>
      <c r="X10" s="1">
        <v>32</v>
      </c>
      <c r="Y10" s="1" t="s">
        <v>45</v>
      </c>
      <c r="Z10" s="1" t="s">
        <v>46</v>
      </c>
      <c r="AA10" s="1">
        <v>1</v>
      </c>
      <c r="AB10" s="1">
        <v>29</v>
      </c>
      <c r="AC10" s="1">
        <v>45.27</v>
      </c>
      <c r="AD10" s="1" t="s">
        <v>46</v>
      </c>
      <c r="AE10" s="1">
        <v>1E-3</v>
      </c>
      <c r="AF10" s="2">
        <v>2.2100000000000001E-7</v>
      </c>
      <c r="AG10" s="2">
        <v>2.2100000000000001E-7</v>
      </c>
      <c r="AH10" s="1">
        <v>0.78072580700000005</v>
      </c>
      <c r="AI10" s="2">
        <v>1.7600000000000001E-5</v>
      </c>
      <c r="AJ10" s="1">
        <f t="shared" si="0"/>
        <v>1.105E-7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s="10" customFormat="1" x14ac:dyDescent="0.3">
      <c r="A11" s="1">
        <v>11</v>
      </c>
      <c r="B11" s="1" t="s">
        <v>41</v>
      </c>
      <c r="C11" s="1" t="s">
        <v>71</v>
      </c>
      <c r="D11" s="1" t="s">
        <v>66</v>
      </c>
      <c r="E11" s="1"/>
      <c r="F11" s="1"/>
      <c r="G11" s="1" t="s">
        <v>72</v>
      </c>
      <c r="H11" s="1">
        <v>8.0000000000000002E-3</v>
      </c>
      <c r="I11" s="1" t="s">
        <v>13</v>
      </c>
      <c r="J11" s="1" t="s">
        <v>61</v>
      </c>
      <c r="K11" s="1">
        <v>0.99</v>
      </c>
      <c r="L11" s="1">
        <v>22</v>
      </c>
      <c r="M11" s="1" t="s">
        <v>45</v>
      </c>
      <c r="N11" s="1" t="s">
        <v>46</v>
      </c>
      <c r="O11" s="1">
        <v>1</v>
      </c>
      <c r="P11" s="1">
        <v>21</v>
      </c>
      <c r="Q11" s="1">
        <v>17.3</v>
      </c>
      <c r="R11" s="1" t="s">
        <v>50</v>
      </c>
      <c r="S11" s="1">
        <v>1E-3</v>
      </c>
      <c r="T11" s="1">
        <v>4.4391800000000001E-4</v>
      </c>
      <c r="U11" s="1">
        <v>4.4391800000000001E-4</v>
      </c>
      <c r="V11" s="1"/>
      <c r="W11" s="1">
        <v>0.67208416699999995</v>
      </c>
      <c r="X11" s="1">
        <v>30</v>
      </c>
      <c r="Y11" s="1" t="s">
        <v>45</v>
      </c>
      <c r="Z11" s="1" t="s">
        <v>46</v>
      </c>
      <c r="AA11" s="1">
        <v>1</v>
      </c>
      <c r="AB11" s="1">
        <v>29</v>
      </c>
      <c r="AC11" s="1">
        <v>8.0640000000000001</v>
      </c>
      <c r="AD11" s="1" t="s">
        <v>46</v>
      </c>
      <c r="AE11" s="1">
        <v>8.0000000000000002E-3</v>
      </c>
      <c r="AF11" s="1">
        <v>8.1689150000000006E-3</v>
      </c>
      <c r="AG11" s="1">
        <v>8.1689150000000006E-3</v>
      </c>
      <c r="AH11" s="1">
        <v>0.46644357600000003</v>
      </c>
      <c r="AI11" s="1">
        <v>4.4391800000000001E-4</v>
      </c>
      <c r="AJ11" s="1">
        <f t="shared" si="0"/>
        <v>4.0844575000000003E-3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s="10" customFormat="1" x14ac:dyDescent="0.3">
      <c r="A12" s="1">
        <v>12</v>
      </c>
      <c r="B12" s="1" t="s">
        <v>41</v>
      </c>
      <c r="C12" s="1" t="s">
        <v>73</v>
      </c>
      <c r="D12" s="1" t="s">
        <v>74</v>
      </c>
      <c r="E12" s="1"/>
      <c r="F12" s="1"/>
      <c r="G12" s="1" t="s">
        <v>75</v>
      </c>
      <c r="H12" s="1">
        <v>0.1986</v>
      </c>
      <c r="I12" s="1" t="s">
        <v>13</v>
      </c>
      <c r="J12" s="1" t="s">
        <v>44</v>
      </c>
      <c r="K12" s="1">
        <v>0.95</v>
      </c>
      <c r="L12" s="1">
        <v>48</v>
      </c>
      <c r="M12" s="1" t="s">
        <v>45</v>
      </c>
      <c r="N12" s="1" t="s">
        <v>46</v>
      </c>
      <c r="O12" s="1">
        <v>2</v>
      </c>
      <c r="P12" s="1">
        <v>92</v>
      </c>
      <c r="Q12" s="1">
        <v>3.13</v>
      </c>
      <c r="R12" s="1" t="s">
        <v>50</v>
      </c>
      <c r="S12" s="1">
        <v>0.05</v>
      </c>
      <c r="T12" s="1">
        <v>4.8407104999999999E-2</v>
      </c>
      <c r="U12" s="1">
        <v>4.8407104999999999E-2</v>
      </c>
      <c r="V12" s="1"/>
      <c r="W12" s="1">
        <v>0.178477629</v>
      </c>
      <c r="X12" s="1">
        <v>118</v>
      </c>
      <c r="Y12" s="1" t="s">
        <v>45</v>
      </c>
      <c r="Z12" s="1" t="s">
        <v>46</v>
      </c>
      <c r="AA12" s="1">
        <v>2</v>
      </c>
      <c r="AB12" s="1">
        <v>232</v>
      </c>
      <c r="AC12" s="1">
        <v>1.63</v>
      </c>
      <c r="AD12" s="1" t="s">
        <v>46</v>
      </c>
      <c r="AE12" s="1">
        <v>0.1986</v>
      </c>
      <c r="AF12" s="1">
        <v>0.19816524799999999</v>
      </c>
      <c r="AG12" s="1">
        <v>0.19816524799999999</v>
      </c>
      <c r="AH12" s="1">
        <v>8.3237640000000002E-2</v>
      </c>
      <c r="AI12" s="1">
        <v>4.8407104999999999E-2</v>
      </c>
      <c r="AJ12" s="1">
        <f t="shared" si="0"/>
        <v>9.9082623999999994E-2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s="10" customFormat="1" x14ac:dyDescent="0.3">
      <c r="A13" s="1">
        <v>13</v>
      </c>
      <c r="B13" s="1" t="s">
        <v>41</v>
      </c>
      <c r="C13" s="1" t="s">
        <v>76</v>
      </c>
      <c r="D13" s="1" t="s">
        <v>66</v>
      </c>
      <c r="E13" s="1"/>
      <c r="F13" s="1"/>
      <c r="G13" s="1" t="s">
        <v>77</v>
      </c>
      <c r="H13" s="1">
        <v>1E-4</v>
      </c>
      <c r="I13" s="1" t="s">
        <v>13</v>
      </c>
      <c r="J13" s="1" t="s">
        <v>61</v>
      </c>
      <c r="K13" s="1">
        <v>0.99</v>
      </c>
      <c r="L13" s="1">
        <v>36</v>
      </c>
      <c r="M13" s="1" t="s">
        <v>45</v>
      </c>
      <c r="N13" s="1" t="s">
        <v>46</v>
      </c>
      <c r="O13" s="1">
        <v>2</v>
      </c>
      <c r="P13" s="1">
        <v>68</v>
      </c>
      <c r="Q13" s="1">
        <v>41.59</v>
      </c>
      <c r="R13" s="1" t="s">
        <v>50</v>
      </c>
      <c r="S13" s="1">
        <v>1E-3</v>
      </c>
      <c r="T13" s="2">
        <v>1.5900000000000001E-12</v>
      </c>
      <c r="U13" s="2">
        <v>1.5900000000000001E-12</v>
      </c>
      <c r="V13" s="1"/>
      <c r="W13" s="1">
        <v>0.52450216999999999</v>
      </c>
      <c r="X13" s="1">
        <v>36</v>
      </c>
      <c r="Y13" s="1" t="s">
        <v>45</v>
      </c>
      <c r="Z13" s="1" t="s">
        <v>46</v>
      </c>
      <c r="AA13" s="1">
        <v>2</v>
      </c>
      <c r="AB13" s="1">
        <v>68</v>
      </c>
      <c r="AC13" s="1">
        <v>41.603000000000002</v>
      </c>
      <c r="AD13" s="1" t="s">
        <v>46</v>
      </c>
      <c r="AE13" s="1">
        <v>1E-4</v>
      </c>
      <c r="AF13" s="2">
        <v>1.5799999999999999E-12</v>
      </c>
      <c r="AG13" s="2">
        <v>1.5799999999999999E-12</v>
      </c>
      <c r="AH13" s="1">
        <v>0.52453903400000002</v>
      </c>
      <c r="AI13" s="2">
        <v>1.5900000000000001E-12</v>
      </c>
      <c r="AJ13" s="1">
        <f t="shared" si="0"/>
        <v>7.8999999999999997E-13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s="10" customFormat="1" x14ac:dyDescent="0.3">
      <c r="A14" s="3">
        <v>15</v>
      </c>
      <c r="B14" s="3" t="s">
        <v>41</v>
      </c>
      <c r="C14" s="3" t="s">
        <v>79</v>
      </c>
      <c r="D14" s="3">
        <v>2.8000000000000001E-2</v>
      </c>
      <c r="E14" s="3">
        <v>1</v>
      </c>
      <c r="F14" s="3">
        <v>1</v>
      </c>
      <c r="G14" s="3" t="s">
        <v>80</v>
      </c>
      <c r="H14" s="3">
        <v>1E-4</v>
      </c>
      <c r="I14" s="3" t="s">
        <v>13</v>
      </c>
      <c r="J14" s="3" t="s">
        <v>61</v>
      </c>
      <c r="K14" s="3">
        <v>0.99</v>
      </c>
      <c r="L14" s="3">
        <v>95</v>
      </c>
      <c r="M14" s="3" t="s">
        <v>62</v>
      </c>
      <c r="N14" s="3" t="s">
        <v>46</v>
      </c>
      <c r="O14" s="3">
        <v>1</v>
      </c>
      <c r="P14" s="3">
        <v>94</v>
      </c>
      <c r="Q14" s="3">
        <v>1.929</v>
      </c>
      <c r="R14" s="3" t="s">
        <v>46</v>
      </c>
      <c r="S14" s="3">
        <v>2.8000000000000001E-2</v>
      </c>
      <c r="T14" s="3">
        <v>5.6747408999999999E-2</v>
      </c>
      <c r="U14" s="3">
        <v>2.8373704999999999E-2</v>
      </c>
      <c r="V14" s="3"/>
      <c r="W14" s="3">
        <v>0.19513635400000001</v>
      </c>
      <c r="X14" s="3">
        <v>242</v>
      </c>
      <c r="Y14" s="3" t="s">
        <v>62</v>
      </c>
      <c r="Z14" s="3" t="s">
        <v>46</v>
      </c>
      <c r="AA14" s="3">
        <v>1</v>
      </c>
      <c r="AB14" s="3">
        <v>241</v>
      </c>
      <c r="AC14" s="3">
        <v>3.9550000000000001</v>
      </c>
      <c r="AD14" s="3" t="s">
        <v>46</v>
      </c>
      <c r="AE14" s="3">
        <v>1E-4</v>
      </c>
      <c r="AF14" s="5">
        <v>1.01E-4</v>
      </c>
      <c r="AG14" s="5">
        <v>5.0500000000000001E-5</v>
      </c>
      <c r="AH14" s="3">
        <v>0.24687812000000001</v>
      </c>
      <c r="AI14" s="3">
        <v>5.6747408999999999E-2</v>
      </c>
      <c r="AJ14" s="3">
        <f t="shared" si="0"/>
        <v>5.0500000000000001E-5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s="10" customFormat="1" x14ac:dyDescent="0.3">
      <c r="A15" s="1">
        <v>17</v>
      </c>
      <c r="B15" s="1" t="s">
        <v>41</v>
      </c>
      <c r="C15" s="1" t="s">
        <v>81</v>
      </c>
      <c r="D15" s="1" t="s">
        <v>66</v>
      </c>
      <c r="E15" s="1"/>
      <c r="F15" s="1"/>
      <c r="G15" s="1" t="s">
        <v>82</v>
      </c>
      <c r="H15" s="1">
        <v>3.0000000000000001E-5</v>
      </c>
      <c r="I15" s="1" t="s">
        <v>13</v>
      </c>
      <c r="J15" s="1" t="s">
        <v>61</v>
      </c>
      <c r="K15" s="1">
        <v>0.97</v>
      </c>
      <c r="L15" s="1">
        <v>39</v>
      </c>
      <c r="M15" s="1" t="s">
        <v>45</v>
      </c>
      <c r="N15" s="1" t="s">
        <v>46</v>
      </c>
      <c r="O15" s="1">
        <v>2</v>
      </c>
      <c r="P15" s="1">
        <v>76</v>
      </c>
      <c r="Q15" s="1">
        <v>8.67</v>
      </c>
      <c r="R15" s="1" t="s">
        <v>50</v>
      </c>
      <c r="S15" s="1">
        <v>1E-3</v>
      </c>
      <c r="T15" s="1">
        <v>4.0582599999999997E-4</v>
      </c>
      <c r="U15" s="1">
        <v>4.0582599999999997E-4</v>
      </c>
      <c r="V15" s="1"/>
      <c r="W15" s="1">
        <v>0.30477241100000002</v>
      </c>
      <c r="X15" s="1">
        <v>47</v>
      </c>
      <c r="Y15" s="1" t="s">
        <v>45</v>
      </c>
      <c r="Z15" s="1" t="s">
        <v>46</v>
      </c>
      <c r="AA15" s="1">
        <v>1.58</v>
      </c>
      <c r="AB15" s="1">
        <v>72.400000000000006</v>
      </c>
      <c r="AC15" s="1">
        <v>19.48</v>
      </c>
      <c r="AD15" s="1" t="s">
        <v>46</v>
      </c>
      <c r="AE15" s="1">
        <v>3.0000000000000001E-5</v>
      </c>
      <c r="AF15" s="2">
        <v>1.37E-6</v>
      </c>
      <c r="AG15" s="2">
        <v>1.37E-6</v>
      </c>
      <c r="AH15" s="1">
        <v>0.43451030600000001</v>
      </c>
      <c r="AI15" s="1">
        <v>4.0582599999999997E-4</v>
      </c>
      <c r="AJ15" s="1">
        <f t="shared" si="0"/>
        <v>6.8500000000000001E-7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s="10" customFormat="1" x14ac:dyDescent="0.3">
      <c r="A16" s="1">
        <v>19</v>
      </c>
      <c r="B16" s="1" t="s">
        <v>41</v>
      </c>
      <c r="C16" s="1" t="s">
        <v>83</v>
      </c>
      <c r="D16" s="1" t="s">
        <v>66</v>
      </c>
      <c r="E16" s="1">
        <v>2</v>
      </c>
      <c r="F16" s="1">
        <v>2</v>
      </c>
      <c r="G16" s="1" t="s">
        <v>84</v>
      </c>
      <c r="H16" s="1">
        <v>7.0999999999999994E-2</v>
      </c>
      <c r="I16" s="1" t="s">
        <v>13</v>
      </c>
      <c r="J16" s="1" t="s">
        <v>44</v>
      </c>
      <c r="K16" s="1">
        <v>0.8</v>
      </c>
      <c r="L16" s="1">
        <v>32</v>
      </c>
      <c r="M16" s="1" t="s">
        <v>45</v>
      </c>
      <c r="N16" s="1" t="s">
        <v>46</v>
      </c>
      <c r="O16" s="1">
        <v>1</v>
      </c>
      <c r="P16" s="1">
        <v>31</v>
      </c>
      <c r="Q16" s="1">
        <v>14.2</v>
      </c>
      <c r="R16" s="1" t="s">
        <v>50</v>
      </c>
      <c r="S16" s="1">
        <v>1E-3</v>
      </c>
      <c r="T16" s="1">
        <v>6.9248599999999997E-4</v>
      </c>
      <c r="U16" s="1">
        <v>6.9248599999999997E-4</v>
      </c>
      <c r="V16" s="1"/>
      <c r="W16" s="1">
        <v>0.56049914499999998</v>
      </c>
      <c r="X16" s="1">
        <v>21</v>
      </c>
      <c r="Y16" s="1" t="s">
        <v>45</v>
      </c>
      <c r="Z16" s="1" t="s">
        <v>46</v>
      </c>
      <c r="AA16" s="1">
        <v>1</v>
      </c>
      <c r="AB16" s="1">
        <v>19</v>
      </c>
      <c r="AC16" s="1">
        <v>3.661</v>
      </c>
      <c r="AD16" s="1" t="s">
        <v>46</v>
      </c>
      <c r="AE16" s="1">
        <v>7.0999999999999994E-2</v>
      </c>
      <c r="AF16" s="1">
        <v>7.0889710999999994E-2</v>
      </c>
      <c r="AG16" s="1">
        <v>7.0889710999999994E-2</v>
      </c>
      <c r="AH16" s="1">
        <v>0.40193916800000001</v>
      </c>
      <c r="AI16" s="1">
        <v>6.9248599999999997E-4</v>
      </c>
      <c r="AJ16" s="1">
        <f t="shared" si="0"/>
        <v>3.5444855499999997E-2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s="10" customFormat="1" x14ac:dyDescent="0.3">
      <c r="A17" s="1">
        <v>20</v>
      </c>
      <c r="B17" s="1" t="s">
        <v>41</v>
      </c>
      <c r="C17" s="1" t="s">
        <v>85</v>
      </c>
      <c r="D17" s="1" t="s">
        <v>74</v>
      </c>
      <c r="E17" s="1"/>
      <c r="F17" s="1"/>
      <c r="G17" s="1" t="s">
        <v>86</v>
      </c>
      <c r="H17" s="1">
        <v>0.84</v>
      </c>
      <c r="I17" s="1" t="s">
        <v>13</v>
      </c>
      <c r="J17" s="1" t="s">
        <v>44</v>
      </c>
      <c r="K17" s="1">
        <v>0.92</v>
      </c>
      <c r="L17" s="1">
        <v>96</v>
      </c>
      <c r="M17" s="1" t="s">
        <v>45</v>
      </c>
      <c r="N17" s="1" t="s">
        <v>46</v>
      </c>
      <c r="O17" s="1">
        <v>1</v>
      </c>
      <c r="P17" s="1">
        <v>94</v>
      </c>
      <c r="Q17" s="1">
        <v>4.97</v>
      </c>
      <c r="R17" s="1" t="s">
        <v>50</v>
      </c>
      <c r="S17" s="1">
        <v>0.05</v>
      </c>
      <c r="T17" s="1">
        <v>2.8172412000000001E-2</v>
      </c>
      <c r="U17" s="1">
        <v>2.8172412000000001E-2</v>
      </c>
      <c r="V17" s="1"/>
      <c r="W17" s="1">
        <v>0.224092029</v>
      </c>
      <c r="X17" s="1">
        <v>108</v>
      </c>
      <c r="Y17" s="1" t="s">
        <v>45</v>
      </c>
      <c r="Z17" s="1" t="s">
        <v>46</v>
      </c>
      <c r="AA17" s="1">
        <v>1</v>
      </c>
      <c r="AB17" s="1">
        <v>106</v>
      </c>
      <c r="AC17" s="1">
        <v>0.04</v>
      </c>
      <c r="AD17" s="1" t="s">
        <v>46</v>
      </c>
      <c r="AE17" s="1">
        <v>0.84</v>
      </c>
      <c r="AF17" s="1">
        <v>0.84186377499999998</v>
      </c>
      <c r="AG17" s="1">
        <v>0.84186377499999998</v>
      </c>
      <c r="AH17" s="1">
        <v>1.9422053000000002E-2</v>
      </c>
      <c r="AI17" s="1">
        <v>2.8172412000000001E-2</v>
      </c>
      <c r="AJ17" s="1">
        <f t="shared" si="0"/>
        <v>0.42093188749999999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s="10" customFormat="1" x14ac:dyDescent="0.3">
      <c r="A18" s="1">
        <v>22</v>
      </c>
      <c r="B18" s="1" t="s">
        <v>41</v>
      </c>
      <c r="C18" s="1" t="s">
        <v>87</v>
      </c>
      <c r="D18" s="1">
        <v>2E-3</v>
      </c>
      <c r="E18" s="1"/>
      <c r="F18" s="1"/>
      <c r="G18" s="1" t="s">
        <v>88</v>
      </c>
      <c r="H18" s="1">
        <v>0.72</v>
      </c>
      <c r="I18" s="1" t="s">
        <v>13</v>
      </c>
      <c r="J18" s="1" t="s">
        <v>44</v>
      </c>
      <c r="K18" s="1">
        <v>0.97</v>
      </c>
      <c r="L18" s="1">
        <v>18</v>
      </c>
      <c r="M18" s="1" t="s">
        <v>45</v>
      </c>
      <c r="N18" s="1" t="s">
        <v>46</v>
      </c>
      <c r="O18" s="1">
        <v>3</v>
      </c>
      <c r="P18" s="1">
        <v>93</v>
      </c>
      <c r="Q18" s="1">
        <v>5.23</v>
      </c>
      <c r="R18" s="1" t="s">
        <v>46</v>
      </c>
      <c r="S18" s="1">
        <v>2E-3</v>
      </c>
      <c r="T18" s="1">
        <v>2.2180009999999998E-3</v>
      </c>
      <c r="U18" s="1">
        <v>2.2180009999999998E-3</v>
      </c>
      <c r="V18" s="1"/>
      <c r="W18" s="1">
        <v>0.21935929900000001</v>
      </c>
      <c r="X18" s="1">
        <v>32</v>
      </c>
      <c r="Y18" s="1" t="s">
        <v>45</v>
      </c>
      <c r="Z18" s="1" t="s">
        <v>46</v>
      </c>
      <c r="AA18" s="1">
        <v>2.33</v>
      </c>
      <c r="AB18" s="1">
        <v>90</v>
      </c>
      <c r="AC18" s="1">
        <v>0.38</v>
      </c>
      <c r="AD18" s="1" t="s">
        <v>46</v>
      </c>
      <c r="AE18" s="1">
        <v>0.72</v>
      </c>
      <c r="AF18" s="1">
        <v>0.71661794599999995</v>
      </c>
      <c r="AG18" s="1">
        <v>0.71661794599999995</v>
      </c>
      <c r="AH18" s="1">
        <v>6.4661344999999995E-2</v>
      </c>
      <c r="AI18" s="1">
        <v>2.2180009999999998E-3</v>
      </c>
      <c r="AJ18" s="1">
        <f t="shared" si="0"/>
        <v>0.35830897299999998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s="10" customFormat="1" x14ac:dyDescent="0.3">
      <c r="A19" s="1">
        <v>24</v>
      </c>
      <c r="B19" s="1" t="s">
        <v>41</v>
      </c>
      <c r="C19" s="1" t="s">
        <v>89</v>
      </c>
      <c r="D19" s="1" t="s">
        <v>66</v>
      </c>
      <c r="E19" s="1"/>
      <c r="F19" s="1"/>
      <c r="G19" s="1" t="s">
        <v>90</v>
      </c>
      <c r="H19" s="1">
        <v>4.4999999999999998E-2</v>
      </c>
      <c r="I19" s="1" t="s">
        <v>13</v>
      </c>
      <c r="J19" s="1" t="s">
        <v>61</v>
      </c>
      <c r="K19" s="1">
        <v>0.76</v>
      </c>
      <c r="L19" s="1">
        <v>154</v>
      </c>
      <c r="M19" s="1" t="s">
        <v>45</v>
      </c>
      <c r="N19" s="1" t="s">
        <v>46</v>
      </c>
      <c r="O19" s="1">
        <v>1</v>
      </c>
      <c r="P19" s="1">
        <v>152</v>
      </c>
      <c r="Q19" s="1">
        <v>23.175999999999998</v>
      </c>
      <c r="R19" s="1" t="s">
        <v>50</v>
      </c>
      <c r="S19" s="1">
        <v>1E-3</v>
      </c>
      <c r="T19" s="2">
        <v>3.54E-6</v>
      </c>
      <c r="U19" s="2">
        <v>3.54E-6</v>
      </c>
      <c r="V19" s="1"/>
      <c r="W19" s="1">
        <v>0.36373235799999998</v>
      </c>
      <c r="X19" s="1">
        <v>49</v>
      </c>
      <c r="Y19" s="1" t="s">
        <v>45</v>
      </c>
      <c r="Z19" s="1" t="s">
        <v>46</v>
      </c>
      <c r="AA19" s="1">
        <v>1</v>
      </c>
      <c r="AB19" s="1">
        <v>48</v>
      </c>
      <c r="AC19" s="1">
        <v>4.22</v>
      </c>
      <c r="AD19" s="1" t="s">
        <v>46</v>
      </c>
      <c r="AE19" s="1">
        <v>4.4999999999999998E-2</v>
      </c>
      <c r="AF19" s="1">
        <v>4.5417099000000002E-2</v>
      </c>
      <c r="AG19" s="1">
        <v>4.5417099000000002E-2</v>
      </c>
      <c r="AH19" s="1">
        <v>0.28427442600000002</v>
      </c>
      <c r="AI19" s="2">
        <v>3.54E-6</v>
      </c>
      <c r="AJ19" s="1">
        <f t="shared" si="0"/>
        <v>2.2708549500000001E-2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3">
      <c r="A20" s="1">
        <v>25</v>
      </c>
      <c r="B20" s="1" t="s">
        <v>41</v>
      </c>
      <c r="C20" s="1" t="s">
        <v>91</v>
      </c>
      <c r="D20" s="1" t="s">
        <v>66</v>
      </c>
      <c r="E20" s="1">
        <v>2</v>
      </c>
      <c r="G20" s="1" t="s">
        <v>92</v>
      </c>
      <c r="H20" s="1">
        <v>2E-3</v>
      </c>
      <c r="I20" s="1" t="s">
        <v>13</v>
      </c>
      <c r="J20" s="1" t="s">
        <v>61</v>
      </c>
      <c r="K20" s="1" t="s">
        <v>7</v>
      </c>
      <c r="L20" s="1">
        <v>24</v>
      </c>
      <c r="M20" s="1" t="s">
        <v>45</v>
      </c>
      <c r="N20" s="1" t="s">
        <v>46</v>
      </c>
      <c r="O20" s="1">
        <v>3</v>
      </c>
      <c r="P20" s="1">
        <v>48</v>
      </c>
      <c r="Q20" s="1">
        <v>9.14</v>
      </c>
      <c r="R20" s="1" t="s">
        <v>50</v>
      </c>
      <c r="S20" s="1">
        <v>1E-3</v>
      </c>
      <c r="T20" s="2">
        <v>6.8300000000000007E-5</v>
      </c>
      <c r="U20" s="2">
        <v>6.8300000000000007E-5</v>
      </c>
      <c r="W20" s="1">
        <v>0.34812068899999998</v>
      </c>
      <c r="X20" s="1">
        <v>63</v>
      </c>
      <c r="Y20" s="1" t="s">
        <v>45</v>
      </c>
      <c r="Z20" s="1" t="s">
        <v>46</v>
      </c>
      <c r="AA20" s="1">
        <v>3</v>
      </c>
      <c r="AB20" s="1">
        <v>59</v>
      </c>
      <c r="AC20" s="1">
        <v>5.681</v>
      </c>
      <c r="AD20" s="1" t="s">
        <v>46</v>
      </c>
      <c r="AE20" s="1">
        <v>2E-3</v>
      </c>
      <c r="AF20" s="1">
        <v>1.7370409999999999E-3</v>
      </c>
      <c r="AG20" s="1">
        <v>1.7370409999999999E-3</v>
      </c>
      <c r="AH20" s="1">
        <v>0.27332719999999999</v>
      </c>
      <c r="AI20" s="2">
        <v>6.8300000000000007E-5</v>
      </c>
      <c r="AJ20" s="1">
        <f t="shared" si="0"/>
        <v>8.6852049999999997E-4</v>
      </c>
    </row>
    <row r="21" spans="1:82" x14ac:dyDescent="0.3">
      <c r="A21" s="1">
        <v>26</v>
      </c>
      <c r="B21" s="1" t="s">
        <v>41</v>
      </c>
      <c r="C21" s="1" t="s">
        <v>93</v>
      </c>
      <c r="D21" s="1" t="s">
        <v>94</v>
      </c>
      <c r="G21" s="1" t="s">
        <v>95</v>
      </c>
      <c r="H21" s="1">
        <v>0.17</v>
      </c>
      <c r="I21" s="1" t="s">
        <v>13</v>
      </c>
      <c r="J21" s="1" t="s">
        <v>61</v>
      </c>
      <c r="K21" s="1">
        <v>0.95</v>
      </c>
      <c r="L21" s="1">
        <v>16</v>
      </c>
      <c r="M21" s="1" t="s">
        <v>45</v>
      </c>
      <c r="N21" s="1" t="s">
        <v>46</v>
      </c>
      <c r="O21" s="1">
        <v>1</v>
      </c>
      <c r="P21" s="1">
        <v>94</v>
      </c>
      <c r="Q21" s="1">
        <v>2.5</v>
      </c>
      <c r="R21" s="1" t="s">
        <v>96</v>
      </c>
      <c r="S21" s="1">
        <v>0.1</v>
      </c>
      <c r="T21" s="7">
        <v>0.117205428</v>
      </c>
      <c r="U21" s="1">
        <v>0.117205428</v>
      </c>
      <c r="W21" s="1">
        <v>0.16095569500000001</v>
      </c>
      <c r="X21" s="1">
        <v>20</v>
      </c>
      <c r="Y21" s="1" t="s">
        <v>45</v>
      </c>
      <c r="Z21" s="1" t="s">
        <v>46</v>
      </c>
      <c r="AA21" s="1">
        <v>1</v>
      </c>
      <c r="AB21" s="1">
        <v>92</v>
      </c>
      <c r="AC21" s="1">
        <v>1.95</v>
      </c>
      <c r="AD21" s="1" t="s">
        <v>46</v>
      </c>
      <c r="AE21" s="1">
        <v>0.17</v>
      </c>
      <c r="AF21" s="1">
        <v>0.165946909</v>
      </c>
      <c r="AG21" s="1">
        <v>0.165946909</v>
      </c>
      <c r="AH21" s="1">
        <v>0.14406846000000001</v>
      </c>
      <c r="AI21" s="7">
        <v>0.117205428</v>
      </c>
      <c r="AJ21" s="1">
        <f t="shared" si="0"/>
        <v>8.2973454500000002E-2</v>
      </c>
    </row>
    <row r="22" spans="1:82" x14ac:dyDescent="0.3">
      <c r="A22" s="1">
        <v>27</v>
      </c>
      <c r="B22" s="1" t="s">
        <v>41</v>
      </c>
      <c r="C22" s="1" t="s">
        <v>97</v>
      </c>
      <c r="D22" s="1">
        <v>0.03</v>
      </c>
      <c r="G22" s="1" t="s">
        <v>98</v>
      </c>
      <c r="H22" s="1">
        <v>1E-3</v>
      </c>
      <c r="I22" s="1" t="s">
        <v>13</v>
      </c>
      <c r="J22" s="1" t="s">
        <v>61</v>
      </c>
      <c r="K22" s="1">
        <v>0.92</v>
      </c>
      <c r="L22" s="1">
        <v>32</v>
      </c>
      <c r="M22" s="1" t="s">
        <v>45</v>
      </c>
      <c r="N22" s="1" t="s">
        <v>46</v>
      </c>
      <c r="O22" s="1">
        <v>1</v>
      </c>
      <c r="P22" s="1">
        <v>31</v>
      </c>
      <c r="Q22" s="1">
        <v>5.17</v>
      </c>
      <c r="R22" s="1" t="s">
        <v>46</v>
      </c>
      <c r="S22" s="1">
        <v>0.03</v>
      </c>
      <c r="T22" s="1">
        <v>3.0057008E-2</v>
      </c>
      <c r="U22" s="1">
        <v>3.0057008E-2</v>
      </c>
      <c r="W22" s="1">
        <v>0.37806895499999998</v>
      </c>
      <c r="X22" s="1">
        <v>71</v>
      </c>
      <c r="Y22" s="1" t="s">
        <v>45</v>
      </c>
      <c r="Z22" s="1" t="s">
        <v>46</v>
      </c>
      <c r="AA22" s="1">
        <v>1</v>
      </c>
      <c r="AB22" s="1">
        <v>70</v>
      </c>
      <c r="AC22" s="1">
        <v>11.782999999999999</v>
      </c>
      <c r="AD22" s="1" t="s">
        <v>46</v>
      </c>
      <c r="AE22" s="1">
        <v>1E-3</v>
      </c>
      <c r="AF22" s="1">
        <v>1.0075220000000001E-3</v>
      </c>
      <c r="AG22" s="1">
        <v>1.0075220000000001E-3</v>
      </c>
      <c r="AH22" s="1">
        <v>0.37957396799999998</v>
      </c>
      <c r="AI22" s="1">
        <v>3.0057008E-2</v>
      </c>
      <c r="AJ22" s="1">
        <f t="shared" si="0"/>
        <v>5.0376100000000003E-4</v>
      </c>
    </row>
    <row r="23" spans="1:82" x14ac:dyDescent="0.3">
      <c r="A23" s="1">
        <v>28</v>
      </c>
      <c r="B23" s="1" t="s">
        <v>41</v>
      </c>
      <c r="C23" s="1" t="s">
        <v>99</v>
      </c>
      <c r="D23" s="1" t="s">
        <v>100</v>
      </c>
      <c r="G23" s="1" t="s">
        <v>101</v>
      </c>
      <c r="H23" s="1">
        <v>0.33</v>
      </c>
      <c r="I23" s="1" t="s">
        <v>13</v>
      </c>
      <c r="J23" s="1" t="s">
        <v>44</v>
      </c>
      <c r="K23" s="1">
        <v>0.94</v>
      </c>
      <c r="L23" s="1">
        <v>32</v>
      </c>
      <c r="M23" s="1" t="s">
        <v>45</v>
      </c>
      <c r="N23" s="1" t="s">
        <v>46</v>
      </c>
      <c r="O23" s="1">
        <v>1</v>
      </c>
      <c r="P23" s="1">
        <v>31</v>
      </c>
      <c r="Q23" s="1">
        <v>4.0999999999999996</v>
      </c>
      <c r="R23" s="1" t="s">
        <v>50</v>
      </c>
      <c r="S23" s="1">
        <v>0.06</v>
      </c>
      <c r="T23" s="1">
        <v>5.1569634000000003E-2</v>
      </c>
      <c r="U23" s="1">
        <v>5.1569634000000003E-2</v>
      </c>
      <c r="W23" s="1">
        <v>0.34177348800000001</v>
      </c>
      <c r="X23" s="1">
        <v>91</v>
      </c>
      <c r="Y23" s="1" t="s">
        <v>45</v>
      </c>
      <c r="Z23" s="1" t="s">
        <v>46</v>
      </c>
      <c r="AA23" s="1">
        <v>1</v>
      </c>
      <c r="AB23" s="1">
        <v>90</v>
      </c>
      <c r="AC23" s="1">
        <v>0.97</v>
      </c>
      <c r="AD23" s="1" t="s">
        <v>46</v>
      </c>
      <c r="AE23" s="1">
        <v>0.33</v>
      </c>
      <c r="AF23" s="1">
        <v>0.32732051299999998</v>
      </c>
      <c r="AG23" s="1">
        <v>0.32732051299999998</v>
      </c>
      <c r="AH23" s="1">
        <v>0.10326110500000001</v>
      </c>
      <c r="AI23" s="1">
        <v>5.1569634000000003E-2</v>
      </c>
      <c r="AJ23" s="1">
        <f t="shared" si="0"/>
        <v>0.16366025649999999</v>
      </c>
    </row>
    <row r="24" spans="1:82" x14ac:dyDescent="0.3">
      <c r="A24" s="1">
        <v>29</v>
      </c>
      <c r="B24" s="1" t="s">
        <v>41</v>
      </c>
      <c r="C24" s="1" t="s">
        <v>102</v>
      </c>
      <c r="D24" s="1">
        <v>2.3E-2</v>
      </c>
      <c r="G24" s="1" t="s">
        <v>103</v>
      </c>
      <c r="H24" s="1">
        <v>2E-3</v>
      </c>
      <c r="I24" s="1" t="s">
        <v>13</v>
      </c>
      <c r="J24" s="1" t="s">
        <v>61</v>
      </c>
      <c r="K24" s="1">
        <v>0.95</v>
      </c>
      <c r="L24" s="1">
        <v>8</v>
      </c>
      <c r="M24" s="1" t="s">
        <v>62</v>
      </c>
      <c r="N24" s="1" t="s">
        <v>46</v>
      </c>
      <c r="O24" s="1">
        <v>1</v>
      </c>
      <c r="P24" s="1">
        <v>7</v>
      </c>
      <c r="Q24" s="1">
        <v>2.8919999999999999</v>
      </c>
      <c r="R24" s="1" t="s">
        <v>46</v>
      </c>
      <c r="S24" s="1">
        <v>2.3E-2</v>
      </c>
      <c r="T24" s="1">
        <v>2.3249789E-2</v>
      </c>
      <c r="U24" s="1">
        <v>2.3249789E-2</v>
      </c>
      <c r="W24" s="1">
        <v>0.73782079</v>
      </c>
      <c r="X24" s="1">
        <v>15</v>
      </c>
      <c r="Y24" s="1" t="s">
        <v>62</v>
      </c>
      <c r="Z24" s="1" t="s">
        <v>46</v>
      </c>
      <c r="AA24" s="1">
        <v>1</v>
      </c>
      <c r="AB24" s="1">
        <v>14</v>
      </c>
      <c r="AC24" s="1">
        <v>3.7080000000000002</v>
      </c>
      <c r="AD24" s="1" t="s">
        <v>46</v>
      </c>
      <c r="AE24" s="1">
        <v>2E-3</v>
      </c>
      <c r="AF24" s="1">
        <v>2.3399660000000002E-3</v>
      </c>
      <c r="AG24" s="1">
        <v>2.3399660000000002E-3</v>
      </c>
      <c r="AH24" s="1">
        <v>0.70390490400000005</v>
      </c>
      <c r="AI24" s="1">
        <v>2.3249789E-2</v>
      </c>
      <c r="AJ24" s="1">
        <f t="shared" si="0"/>
        <v>1.1699830000000001E-3</v>
      </c>
    </row>
    <row r="25" spans="1:82" x14ac:dyDescent="0.3">
      <c r="A25" s="1">
        <v>32</v>
      </c>
      <c r="B25" s="1" t="s">
        <v>41</v>
      </c>
      <c r="C25" s="1" t="s">
        <v>104</v>
      </c>
      <c r="D25" s="1" t="s">
        <v>66</v>
      </c>
      <c r="G25" s="1" t="s">
        <v>105</v>
      </c>
      <c r="H25" s="1">
        <v>2E-3</v>
      </c>
      <c r="I25" s="1" t="s">
        <v>13</v>
      </c>
      <c r="J25" s="1" t="s">
        <v>61</v>
      </c>
      <c r="K25" s="1">
        <v>0.99</v>
      </c>
      <c r="L25" s="1">
        <v>37</v>
      </c>
      <c r="M25" s="1" t="s">
        <v>45</v>
      </c>
      <c r="N25" s="1" t="s">
        <v>46</v>
      </c>
      <c r="O25" s="1">
        <v>1</v>
      </c>
      <c r="P25" s="1">
        <v>36</v>
      </c>
      <c r="Q25" s="1">
        <v>22.88</v>
      </c>
      <c r="R25" s="1" t="s">
        <v>50</v>
      </c>
      <c r="S25" s="1">
        <v>1E-3</v>
      </c>
      <c r="T25" s="2">
        <v>2.9099999999999999E-5</v>
      </c>
      <c r="U25" s="2">
        <v>2.9099999999999999E-5</v>
      </c>
      <c r="W25" s="1">
        <v>0.62336743299999997</v>
      </c>
      <c r="X25" s="1">
        <v>38</v>
      </c>
      <c r="Y25" s="1" t="s">
        <v>45</v>
      </c>
      <c r="Z25" s="1" t="s">
        <v>46</v>
      </c>
      <c r="AA25" s="1">
        <v>1</v>
      </c>
      <c r="AB25" s="1">
        <v>37</v>
      </c>
      <c r="AC25" s="1">
        <v>11.12</v>
      </c>
      <c r="AD25" s="1" t="s">
        <v>46</v>
      </c>
      <c r="AE25" s="1">
        <v>2E-3</v>
      </c>
      <c r="AF25" s="1">
        <v>1.9508220000000001E-3</v>
      </c>
      <c r="AG25" s="1">
        <v>1.9508220000000001E-3</v>
      </c>
      <c r="AH25" s="1">
        <v>0.48071711499999997</v>
      </c>
      <c r="AI25" s="2">
        <v>2.9099999999999999E-5</v>
      </c>
      <c r="AJ25" s="1">
        <f t="shared" si="0"/>
        <v>9.7541100000000003E-4</v>
      </c>
    </row>
    <row r="26" spans="1:82" x14ac:dyDescent="0.3">
      <c r="A26" s="1">
        <v>33</v>
      </c>
      <c r="B26" s="1" t="s">
        <v>41</v>
      </c>
      <c r="C26" s="1" t="s">
        <v>106</v>
      </c>
      <c r="D26" s="1">
        <v>1E-3</v>
      </c>
      <c r="G26" s="1" t="s">
        <v>107</v>
      </c>
      <c r="H26" s="1">
        <v>4.3999999999999997E-2</v>
      </c>
      <c r="I26" s="1" t="s">
        <v>13</v>
      </c>
      <c r="J26" s="1" t="s">
        <v>61</v>
      </c>
      <c r="K26" s="1">
        <v>0.95</v>
      </c>
      <c r="L26" s="1">
        <v>40</v>
      </c>
      <c r="M26" s="1" t="s">
        <v>62</v>
      </c>
      <c r="N26" s="1" t="s">
        <v>46</v>
      </c>
      <c r="O26" s="1">
        <v>1</v>
      </c>
      <c r="P26" s="1">
        <v>39</v>
      </c>
      <c r="Q26" s="1">
        <v>3.77</v>
      </c>
      <c r="R26" s="1" t="s">
        <v>46</v>
      </c>
      <c r="S26" s="1">
        <v>1E-3</v>
      </c>
      <c r="T26" s="1">
        <v>5.4107899999999997E-4</v>
      </c>
      <c r="U26" s="1">
        <v>5.4107899999999997E-4</v>
      </c>
      <c r="W26" s="1">
        <v>0.51681235400000003</v>
      </c>
      <c r="X26" s="1">
        <v>40</v>
      </c>
      <c r="Y26" s="1" t="s">
        <v>62</v>
      </c>
      <c r="Z26" s="1" t="s">
        <v>46</v>
      </c>
      <c r="AA26" s="1">
        <v>1</v>
      </c>
      <c r="AB26" s="1">
        <v>39</v>
      </c>
      <c r="AC26" s="1">
        <v>2.08</v>
      </c>
      <c r="AD26" s="1" t="s">
        <v>46</v>
      </c>
      <c r="AE26" s="1">
        <v>4.3999999999999997E-2</v>
      </c>
      <c r="AF26" s="1">
        <v>4.4144620000000002E-2</v>
      </c>
      <c r="AG26" s="1">
        <v>4.4144620000000002E-2</v>
      </c>
      <c r="AH26" s="1">
        <v>0.31599996400000002</v>
      </c>
      <c r="AI26" s="1">
        <v>5.4107899999999997E-4</v>
      </c>
      <c r="AJ26" s="1">
        <f t="shared" si="0"/>
        <v>2.2072310000000001E-2</v>
      </c>
    </row>
    <row r="27" spans="1:82" x14ac:dyDescent="0.3">
      <c r="A27" s="1">
        <v>36</v>
      </c>
      <c r="B27" s="1" t="s">
        <v>41</v>
      </c>
      <c r="C27" s="1" t="s">
        <v>108</v>
      </c>
      <c r="D27" s="1" t="s">
        <v>68</v>
      </c>
      <c r="G27" s="1" t="s">
        <v>109</v>
      </c>
      <c r="H27" s="1">
        <v>4.8000000000000001E-4</v>
      </c>
      <c r="I27" s="1" t="s">
        <v>13</v>
      </c>
      <c r="J27" s="1" t="s">
        <v>61</v>
      </c>
      <c r="K27" s="1">
        <v>0.99</v>
      </c>
      <c r="L27" s="1">
        <v>24</v>
      </c>
      <c r="M27" s="1" t="s">
        <v>45</v>
      </c>
      <c r="N27" s="1" t="s">
        <v>46</v>
      </c>
      <c r="O27" s="1">
        <v>1</v>
      </c>
      <c r="P27" s="1">
        <v>20</v>
      </c>
      <c r="Q27" s="1">
        <v>20.79</v>
      </c>
      <c r="R27" s="1" t="s">
        <v>50</v>
      </c>
      <c r="S27" s="1">
        <v>0.01</v>
      </c>
      <c r="T27" s="1">
        <v>1.9042199999999999E-4</v>
      </c>
      <c r="U27" s="1">
        <v>1.9042199999999999E-4</v>
      </c>
      <c r="W27" s="1">
        <v>0.71392138599999999</v>
      </c>
      <c r="X27" s="1">
        <v>24</v>
      </c>
      <c r="Y27" s="1" t="s">
        <v>45</v>
      </c>
      <c r="Z27" s="1" t="s">
        <v>46</v>
      </c>
      <c r="AA27" s="1">
        <v>1</v>
      </c>
      <c r="AB27" s="1">
        <v>20</v>
      </c>
      <c r="AC27" s="1">
        <v>17.350000000000001</v>
      </c>
      <c r="AD27" s="1" t="s">
        <v>46</v>
      </c>
      <c r="AE27" s="1">
        <v>4.8000000000000001E-4</v>
      </c>
      <c r="AF27" s="1">
        <v>4.7793E-4</v>
      </c>
      <c r="AG27" s="1">
        <v>4.7793E-4</v>
      </c>
      <c r="AH27" s="1">
        <v>0.68156053699999997</v>
      </c>
      <c r="AI27" s="1">
        <v>1.9042199999999999E-4</v>
      </c>
      <c r="AJ27" s="1">
        <f t="shared" si="0"/>
        <v>2.38965E-4</v>
      </c>
    </row>
    <row r="28" spans="1:82" x14ac:dyDescent="0.3">
      <c r="A28" s="1">
        <v>37</v>
      </c>
      <c r="B28" s="1" t="s">
        <v>41</v>
      </c>
      <c r="C28" s="1" t="s">
        <v>110</v>
      </c>
      <c r="D28" s="1" t="s">
        <v>74</v>
      </c>
      <c r="G28" s="1" t="s">
        <v>111</v>
      </c>
      <c r="H28" s="1">
        <v>0.14199999999999999</v>
      </c>
      <c r="I28" s="1" t="s">
        <v>13</v>
      </c>
      <c r="J28" s="1" t="s">
        <v>61</v>
      </c>
      <c r="K28" s="1">
        <v>0.69</v>
      </c>
      <c r="L28" s="1">
        <v>12</v>
      </c>
      <c r="M28" s="1" t="s">
        <v>45</v>
      </c>
      <c r="N28" s="1" t="s">
        <v>46</v>
      </c>
      <c r="O28" s="1">
        <v>1</v>
      </c>
      <c r="P28" s="1">
        <v>11</v>
      </c>
      <c r="Q28" s="1">
        <v>4.8</v>
      </c>
      <c r="R28" s="1" t="s">
        <v>50</v>
      </c>
      <c r="S28" s="1">
        <v>0.05</v>
      </c>
      <c r="T28" s="1">
        <v>5.0889110000000001E-2</v>
      </c>
      <c r="U28" s="1">
        <v>5.0889110000000001E-2</v>
      </c>
      <c r="W28" s="1">
        <v>0.55117825499999995</v>
      </c>
      <c r="X28" s="1">
        <v>18</v>
      </c>
      <c r="Y28" s="1" t="s">
        <v>45</v>
      </c>
      <c r="Z28" s="1" t="s">
        <v>46</v>
      </c>
      <c r="AA28" s="1">
        <v>1</v>
      </c>
      <c r="AB28" s="1">
        <v>17</v>
      </c>
      <c r="AC28" s="1">
        <v>2.37</v>
      </c>
      <c r="AD28" s="1" t="s">
        <v>46</v>
      </c>
      <c r="AE28" s="1">
        <v>0.14199999999999999</v>
      </c>
      <c r="AF28" s="1">
        <v>0.14209302200000001</v>
      </c>
      <c r="AG28" s="1">
        <v>0.14209302200000001</v>
      </c>
      <c r="AH28" s="1">
        <v>0.34979158900000001</v>
      </c>
      <c r="AI28" s="1">
        <v>5.0889110000000001E-2</v>
      </c>
      <c r="AJ28" s="1">
        <f t="shared" si="0"/>
        <v>7.1046511000000007E-2</v>
      </c>
    </row>
    <row r="29" spans="1:82" x14ac:dyDescent="0.3">
      <c r="A29" s="1">
        <v>39</v>
      </c>
      <c r="B29" s="1" t="s">
        <v>41</v>
      </c>
      <c r="C29" s="1" t="s">
        <v>113</v>
      </c>
      <c r="D29" s="1" t="s">
        <v>74</v>
      </c>
      <c r="F29" s="1">
        <v>2</v>
      </c>
      <c r="G29" s="1" t="s">
        <v>114</v>
      </c>
      <c r="H29" s="1">
        <v>0.21</v>
      </c>
      <c r="I29" s="1" t="s">
        <v>13</v>
      </c>
      <c r="J29" s="1" t="s">
        <v>44</v>
      </c>
      <c r="K29" s="1">
        <v>0.87</v>
      </c>
      <c r="L29" s="1">
        <v>68</v>
      </c>
      <c r="M29" s="1" t="s">
        <v>115</v>
      </c>
      <c r="N29" s="1" t="s">
        <v>46</v>
      </c>
      <c r="Q29" s="1">
        <v>3.1</v>
      </c>
      <c r="R29" s="1" t="s">
        <v>50</v>
      </c>
      <c r="S29" s="1">
        <v>0.05</v>
      </c>
      <c r="T29" s="1">
        <v>1.9352060000000001E-3</v>
      </c>
      <c r="U29" s="1">
        <v>1.9352060000000001E-3</v>
      </c>
      <c r="W29" s="1">
        <v>0.36661571300000001</v>
      </c>
      <c r="X29" s="1">
        <v>153</v>
      </c>
      <c r="Y29" s="1" t="s">
        <v>115</v>
      </c>
      <c r="Z29" s="1" t="s">
        <v>46</v>
      </c>
      <c r="AC29" s="1">
        <v>1.25</v>
      </c>
      <c r="AD29" s="1" t="s">
        <v>46</v>
      </c>
      <c r="AE29" s="1">
        <v>0.21</v>
      </c>
      <c r="AF29" s="1">
        <v>0.211299547</v>
      </c>
      <c r="AG29" s="1">
        <v>0.211299547</v>
      </c>
      <c r="AH29" s="1">
        <v>0.10170916100000001</v>
      </c>
      <c r="AI29" s="1">
        <v>1.9352060000000001E-3</v>
      </c>
      <c r="AJ29" s="1">
        <f t="shared" si="0"/>
        <v>0.1056497735</v>
      </c>
    </row>
    <row r="30" spans="1:82" x14ac:dyDescent="0.3">
      <c r="A30" s="1">
        <v>43</v>
      </c>
      <c r="B30" s="1" t="s">
        <v>116</v>
      </c>
      <c r="C30" s="1" t="s">
        <v>117</v>
      </c>
      <c r="D30" s="1" t="s">
        <v>68</v>
      </c>
      <c r="F30" s="1">
        <v>2</v>
      </c>
      <c r="G30" s="1" t="s">
        <v>118</v>
      </c>
      <c r="H30" s="1">
        <v>0.1469</v>
      </c>
      <c r="I30" s="1" t="s">
        <v>13</v>
      </c>
      <c r="J30" s="1" t="s">
        <v>44</v>
      </c>
      <c r="K30" s="1">
        <v>0.99</v>
      </c>
      <c r="L30" s="1">
        <v>67</v>
      </c>
      <c r="M30" s="1" t="s">
        <v>45</v>
      </c>
      <c r="N30" s="1" t="s">
        <v>46</v>
      </c>
      <c r="O30" s="1">
        <v>2</v>
      </c>
      <c r="P30" s="1">
        <v>64</v>
      </c>
      <c r="Q30" s="1">
        <v>10.17</v>
      </c>
      <c r="R30" s="1" t="s">
        <v>50</v>
      </c>
      <c r="S30" s="1">
        <v>0.01</v>
      </c>
      <c r="T30" s="1">
        <v>1.4611100000000001E-4</v>
      </c>
      <c r="U30" s="1">
        <v>1.4611100000000001E-4</v>
      </c>
      <c r="W30" s="1">
        <v>0.34725113800000001</v>
      </c>
      <c r="X30" s="1">
        <v>75</v>
      </c>
      <c r="Y30" s="1" t="s">
        <v>45</v>
      </c>
      <c r="Z30" s="1" t="s">
        <v>46</v>
      </c>
      <c r="AA30" s="1">
        <v>2</v>
      </c>
      <c r="AB30" s="1">
        <v>72</v>
      </c>
      <c r="AC30" s="1">
        <v>1.97</v>
      </c>
      <c r="AD30" s="1" t="s">
        <v>46</v>
      </c>
      <c r="AE30" s="1">
        <v>0.1469</v>
      </c>
      <c r="AF30" s="1">
        <v>0.146902278</v>
      </c>
      <c r="AG30" s="1">
        <v>0.146902278</v>
      </c>
      <c r="AH30" s="1">
        <v>0.161063754</v>
      </c>
      <c r="AI30" s="1">
        <v>1.4611100000000001E-4</v>
      </c>
      <c r="AJ30" s="1">
        <f t="shared" si="0"/>
        <v>7.3451138999999999E-2</v>
      </c>
    </row>
    <row r="31" spans="1:82" x14ac:dyDescent="0.3">
      <c r="A31" s="1">
        <v>44</v>
      </c>
      <c r="B31" s="1" t="s">
        <v>116</v>
      </c>
      <c r="C31" s="1" t="s">
        <v>119</v>
      </c>
      <c r="D31" s="1" t="s">
        <v>68</v>
      </c>
      <c r="G31" s="1" t="s">
        <v>120</v>
      </c>
      <c r="H31" s="1">
        <v>4.4999999999999998E-2</v>
      </c>
      <c r="I31" s="1" t="s">
        <v>13</v>
      </c>
      <c r="J31" s="1" t="s">
        <v>61</v>
      </c>
      <c r="K31" s="1">
        <v>0.99</v>
      </c>
      <c r="L31" s="1">
        <v>70</v>
      </c>
      <c r="M31" s="1" t="s">
        <v>62</v>
      </c>
      <c r="N31" s="1" t="s">
        <v>46</v>
      </c>
      <c r="O31" s="1">
        <v>1</v>
      </c>
      <c r="P31" s="1">
        <v>67</v>
      </c>
      <c r="Q31" s="1">
        <v>3.08</v>
      </c>
      <c r="R31" s="1" t="s">
        <v>50</v>
      </c>
      <c r="S31" s="1">
        <v>0.01</v>
      </c>
      <c r="T31" s="1">
        <v>3.0008840000000001E-3</v>
      </c>
      <c r="U31" s="1">
        <v>3.0008840000000001E-3</v>
      </c>
      <c r="W31" s="1">
        <v>0.35217506700000001</v>
      </c>
      <c r="X31" s="1">
        <v>180</v>
      </c>
      <c r="Y31" s="1" t="s">
        <v>62</v>
      </c>
      <c r="Z31" s="1" t="s">
        <v>46</v>
      </c>
      <c r="AA31" s="1">
        <v>1</v>
      </c>
      <c r="AB31" s="1">
        <v>176</v>
      </c>
      <c r="AC31" s="1">
        <v>2.016</v>
      </c>
      <c r="AD31" s="1" t="s">
        <v>46</v>
      </c>
      <c r="AE31" s="1">
        <v>4.4999999999999998E-2</v>
      </c>
      <c r="AF31" s="1">
        <v>4.5320777999999999E-2</v>
      </c>
      <c r="AG31" s="1">
        <v>4.5320777999999999E-2</v>
      </c>
      <c r="AH31" s="1">
        <v>0.15023695500000001</v>
      </c>
      <c r="AI31" s="1">
        <v>3.0008840000000001E-3</v>
      </c>
      <c r="AJ31" s="1">
        <f t="shared" si="0"/>
        <v>2.2660389E-2</v>
      </c>
    </row>
    <row r="32" spans="1:82" s="3" customFormat="1" x14ac:dyDescent="0.3">
      <c r="A32" s="3">
        <v>46</v>
      </c>
      <c r="B32" s="3" t="s">
        <v>116</v>
      </c>
      <c r="C32" s="3" t="s">
        <v>122</v>
      </c>
      <c r="D32" s="3" t="s">
        <v>66</v>
      </c>
      <c r="E32" s="3">
        <v>1</v>
      </c>
      <c r="G32" s="3" t="s">
        <v>123</v>
      </c>
      <c r="H32" s="3" t="s">
        <v>4</v>
      </c>
      <c r="I32" s="3" t="s">
        <v>13</v>
      </c>
      <c r="J32" s="3" t="s">
        <v>61</v>
      </c>
      <c r="K32" s="3">
        <v>0.99</v>
      </c>
      <c r="L32" s="3">
        <v>230047</v>
      </c>
      <c r="M32" s="3" t="s">
        <v>45</v>
      </c>
      <c r="N32" s="3" t="s">
        <v>46</v>
      </c>
      <c r="O32" s="3">
        <v>21</v>
      </c>
      <c r="P32" s="3">
        <v>230025</v>
      </c>
      <c r="Q32" s="3">
        <v>118.15</v>
      </c>
      <c r="R32" s="3" t="s">
        <v>50</v>
      </c>
      <c r="S32" s="3">
        <v>1E-3</v>
      </c>
      <c r="T32" s="3">
        <v>0</v>
      </c>
      <c r="U32" s="3">
        <v>0</v>
      </c>
      <c r="W32" s="3">
        <v>2.2542373000000001E-2</v>
      </c>
      <c r="X32" s="3">
        <v>455326</v>
      </c>
      <c r="Y32" s="3" t="s">
        <v>45</v>
      </c>
      <c r="Z32" s="3" t="s">
        <v>46</v>
      </c>
      <c r="AA32" s="3">
        <v>21</v>
      </c>
      <c r="AB32" s="3">
        <v>455304</v>
      </c>
      <c r="AC32" s="3">
        <v>261.93</v>
      </c>
      <c r="AD32" s="3" t="s">
        <v>46</v>
      </c>
      <c r="AE32" s="5">
        <v>2.2E-16</v>
      </c>
      <c r="AF32" s="3">
        <v>0</v>
      </c>
      <c r="AG32" s="3">
        <v>0</v>
      </c>
      <c r="AH32" s="3">
        <v>2.3841536999999999E-2</v>
      </c>
      <c r="AI32" s="3">
        <v>0</v>
      </c>
      <c r="AJ32" s="3">
        <f t="shared" si="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36" x14ac:dyDescent="0.3">
      <c r="A33" s="10">
        <v>48</v>
      </c>
      <c r="B33" s="10" t="s">
        <v>116</v>
      </c>
      <c r="C33" s="10" t="s">
        <v>124</v>
      </c>
      <c r="D33" s="10">
        <v>0.03</v>
      </c>
      <c r="E33" s="10"/>
      <c r="F33" s="10">
        <v>2</v>
      </c>
      <c r="G33" s="10" t="s">
        <v>125</v>
      </c>
      <c r="H33" s="10">
        <v>0.47</v>
      </c>
      <c r="I33" s="10" t="s">
        <v>14</v>
      </c>
      <c r="J33" s="10" t="s">
        <v>44</v>
      </c>
      <c r="K33" s="10">
        <v>0.99</v>
      </c>
      <c r="L33" s="10">
        <v>100</v>
      </c>
      <c r="M33" s="10" t="s">
        <v>62</v>
      </c>
      <c r="N33" s="10"/>
      <c r="O33" s="10">
        <v>1</v>
      </c>
      <c r="P33" s="10">
        <v>92</v>
      </c>
      <c r="Q33" s="10">
        <v>-2.2200000000000002</v>
      </c>
      <c r="R33" s="10" t="s">
        <v>46</v>
      </c>
      <c r="S33" s="10">
        <v>0.03</v>
      </c>
      <c r="T33" s="10">
        <v>2.8875522000000001E-2</v>
      </c>
      <c r="U33" s="10">
        <v>2.8875522000000001E-2</v>
      </c>
      <c r="V33" s="10"/>
      <c r="W33" s="10">
        <v>0.22549008600000001</v>
      </c>
      <c r="X33" s="10">
        <v>200</v>
      </c>
      <c r="Y33" s="10" t="s">
        <v>62</v>
      </c>
      <c r="Z33" s="10" t="s">
        <v>46</v>
      </c>
      <c r="AA33" s="10">
        <v>1</v>
      </c>
      <c r="AB33" s="10">
        <v>192</v>
      </c>
      <c r="AC33" s="10">
        <v>-0.72554799999999997</v>
      </c>
      <c r="AD33" s="10" t="s">
        <v>46</v>
      </c>
      <c r="AE33" s="10">
        <v>0.47</v>
      </c>
      <c r="AF33" s="10">
        <v>0.46899932799999999</v>
      </c>
      <c r="AG33" s="10">
        <v>0.46899932799999999</v>
      </c>
      <c r="AH33" s="10">
        <v>-5.2290282E-2</v>
      </c>
      <c r="AI33" s="10">
        <v>2.8875522000000001E-2</v>
      </c>
      <c r="AJ33" s="10">
        <f t="shared" si="0"/>
        <v>0.765500336</v>
      </c>
    </row>
    <row r="34" spans="1:36" x14ac:dyDescent="0.3">
      <c r="A34" s="10">
        <v>49</v>
      </c>
      <c r="B34" s="10" t="s">
        <v>116</v>
      </c>
      <c r="C34" s="10" t="s">
        <v>126</v>
      </c>
      <c r="D34" s="10">
        <v>0.02</v>
      </c>
      <c r="E34" s="10"/>
      <c r="F34" s="10">
        <v>2</v>
      </c>
      <c r="G34" s="10" t="s">
        <v>127</v>
      </c>
      <c r="H34" s="10">
        <v>0.77</v>
      </c>
      <c r="I34" s="10" t="s">
        <v>14</v>
      </c>
      <c r="J34" s="10" t="s">
        <v>44</v>
      </c>
      <c r="K34" s="10">
        <v>0.96</v>
      </c>
      <c r="L34" s="10">
        <v>36</v>
      </c>
      <c r="M34" s="10" t="s">
        <v>45</v>
      </c>
      <c r="N34" s="10" t="s">
        <v>46</v>
      </c>
      <c r="O34" s="10">
        <v>1</v>
      </c>
      <c r="P34" s="10">
        <v>34</v>
      </c>
      <c r="Q34" s="10">
        <v>5.68</v>
      </c>
      <c r="R34" s="10" t="s">
        <v>46</v>
      </c>
      <c r="S34" s="10">
        <v>0.02</v>
      </c>
      <c r="T34" s="10">
        <v>2.2889441E-2</v>
      </c>
      <c r="U34" s="10">
        <v>2.2889441E-2</v>
      </c>
      <c r="V34" s="10"/>
      <c r="W34" s="10">
        <v>0.378345294</v>
      </c>
      <c r="X34" s="10">
        <v>88</v>
      </c>
      <c r="Y34" s="10" t="s">
        <v>45</v>
      </c>
      <c r="Z34" s="10" t="s">
        <v>46</v>
      </c>
      <c r="AA34" s="10">
        <v>1</v>
      </c>
      <c r="AB34" s="10">
        <v>86</v>
      </c>
      <c r="AC34" s="10">
        <v>0.08</v>
      </c>
      <c r="AD34" s="10" t="s">
        <v>46</v>
      </c>
      <c r="AE34" s="10">
        <v>0.77</v>
      </c>
      <c r="AF34" s="10">
        <v>0.77797708200000004</v>
      </c>
      <c r="AG34" s="10">
        <v>0.77797708200000004</v>
      </c>
      <c r="AH34" s="10">
        <v>-3.0485538E-2</v>
      </c>
      <c r="AI34" s="10">
        <v>2.2889441E-2</v>
      </c>
      <c r="AJ34" s="10">
        <f t="shared" ref="AJ34:AJ65" si="1">IF(I34="same",AF34/2,1-AF34/2)</f>
        <v>0.61101145899999998</v>
      </c>
    </row>
    <row r="35" spans="1:36" x14ac:dyDescent="0.3">
      <c r="A35" s="1">
        <v>50</v>
      </c>
      <c r="B35" s="1" t="s">
        <v>116</v>
      </c>
      <c r="C35" s="1" t="s">
        <v>128</v>
      </c>
      <c r="D35" s="1">
        <v>0.02</v>
      </c>
      <c r="G35" s="1" t="s">
        <v>129</v>
      </c>
      <c r="H35" s="1">
        <v>8.5000000000000006E-2</v>
      </c>
      <c r="I35" s="1" t="s">
        <v>13</v>
      </c>
      <c r="J35" s="1" t="s">
        <v>44</v>
      </c>
      <c r="K35" s="1">
        <v>0.82</v>
      </c>
      <c r="L35" s="1">
        <v>98</v>
      </c>
      <c r="M35" s="1" t="s">
        <v>45</v>
      </c>
      <c r="N35" s="1" t="s">
        <v>46</v>
      </c>
      <c r="O35" s="1">
        <v>2</v>
      </c>
      <c r="P35" s="1">
        <v>92</v>
      </c>
      <c r="Q35" s="1">
        <v>4.3600000000000003</v>
      </c>
      <c r="R35" s="1" t="s">
        <v>46</v>
      </c>
      <c r="S35" s="1">
        <v>0.02</v>
      </c>
      <c r="T35" s="1">
        <v>1.5520905999999999E-2</v>
      </c>
      <c r="U35" s="1">
        <v>1.5520905999999999E-2</v>
      </c>
      <c r="W35" s="1">
        <v>0.208058463</v>
      </c>
      <c r="X35" s="1">
        <v>109</v>
      </c>
      <c r="Y35" s="1" t="s">
        <v>45</v>
      </c>
      <c r="Z35" s="1" t="s">
        <v>46</v>
      </c>
      <c r="AA35" s="1">
        <v>2</v>
      </c>
      <c r="AB35" s="1">
        <v>103</v>
      </c>
      <c r="AC35" s="1">
        <v>2.601</v>
      </c>
      <c r="AD35" s="1" t="s">
        <v>46</v>
      </c>
      <c r="AE35" s="1">
        <v>7.9100000000000004E-2</v>
      </c>
      <c r="AF35" s="1">
        <v>7.9067813000000001E-2</v>
      </c>
      <c r="AG35" s="1">
        <v>7.9067813000000001E-2</v>
      </c>
      <c r="AH35" s="1">
        <v>0.155043132</v>
      </c>
      <c r="AI35" s="1">
        <v>1.5520905999999999E-2</v>
      </c>
      <c r="AJ35" s="1">
        <f t="shared" si="1"/>
        <v>3.95339065E-2</v>
      </c>
    </row>
    <row r="36" spans="1:36" x14ac:dyDescent="0.3">
      <c r="A36" s="1">
        <v>52</v>
      </c>
      <c r="B36" s="1" t="s">
        <v>116</v>
      </c>
      <c r="C36" s="1" t="s">
        <v>130</v>
      </c>
      <c r="D36" s="1" t="s">
        <v>131</v>
      </c>
      <c r="G36" s="1" t="s">
        <v>132</v>
      </c>
      <c r="H36" s="1">
        <v>0.32200000000000001</v>
      </c>
      <c r="I36" s="1" t="s">
        <v>13</v>
      </c>
      <c r="J36" s="1" t="s">
        <v>44</v>
      </c>
      <c r="K36" s="1">
        <v>0.95</v>
      </c>
      <c r="L36" s="1">
        <v>133</v>
      </c>
      <c r="M36" s="1" t="s">
        <v>45</v>
      </c>
      <c r="N36" s="1" t="s">
        <v>46</v>
      </c>
      <c r="O36" s="1">
        <v>1</v>
      </c>
      <c r="P36" s="1">
        <v>131</v>
      </c>
      <c r="Q36" s="1">
        <v>5.79</v>
      </c>
      <c r="R36" s="1" t="s">
        <v>50</v>
      </c>
      <c r="S36" s="1">
        <v>0.02</v>
      </c>
      <c r="T36" s="1">
        <v>1.7513309000000001E-2</v>
      </c>
      <c r="U36" s="1">
        <v>1.7513309000000001E-2</v>
      </c>
      <c r="W36" s="1">
        <v>0.20573685999999999</v>
      </c>
      <c r="X36" s="1">
        <v>113</v>
      </c>
      <c r="Y36" s="1" t="s">
        <v>45</v>
      </c>
      <c r="Z36" s="1" t="s">
        <v>46</v>
      </c>
      <c r="AA36" s="1">
        <v>1</v>
      </c>
      <c r="AB36" s="1">
        <v>111</v>
      </c>
      <c r="AC36" s="1">
        <v>0.99</v>
      </c>
      <c r="AD36" s="1" t="s">
        <v>46</v>
      </c>
      <c r="AE36" s="1">
        <v>0.32200000000000001</v>
      </c>
      <c r="AF36" s="1">
        <v>0.32190646099999998</v>
      </c>
      <c r="AG36" s="1">
        <v>0.32190646099999998</v>
      </c>
      <c r="AH36" s="1">
        <v>9.4021673E-2</v>
      </c>
      <c r="AI36" s="1">
        <v>1.7513309000000001E-2</v>
      </c>
      <c r="AJ36" s="1">
        <f t="shared" si="1"/>
        <v>0.16095323049999999</v>
      </c>
    </row>
    <row r="37" spans="1:36" x14ac:dyDescent="0.3">
      <c r="A37" s="1">
        <v>53</v>
      </c>
      <c r="B37" s="1" t="s">
        <v>116</v>
      </c>
      <c r="C37" s="1" t="s">
        <v>133</v>
      </c>
      <c r="D37" s="1">
        <v>0.03</v>
      </c>
      <c r="G37" s="1" t="s">
        <v>134</v>
      </c>
      <c r="H37" s="1">
        <v>0.51300000000000001</v>
      </c>
      <c r="I37" s="1" t="s">
        <v>13</v>
      </c>
      <c r="J37" s="1" t="s">
        <v>44</v>
      </c>
      <c r="K37" s="1">
        <v>0.99</v>
      </c>
      <c r="L37" s="1">
        <v>48</v>
      </c>
      <c r="M37" s="1" t="s">
        <v>45</v>
      </c>
      <c r="N37" s="1" t="s">
        <v>46</v>
      </c>
      <c r="O37" s="1">
        <v>1</v>
      </c>
      <c r="P37" s="1">
        <v>31</v>
      </c>
      <c r="Q37" s="1">
        <v>5.14</v>
      </c>
      <c r="R37" s="1" t="s">
        <v>46</v>
      </c>
      <c r="S37" s="1">
        <v>0.03</v>
      </c>
      <c r="T37" s="1">
        <v>3.0503190999999999E-2</v>
      </c>
      <c r="U37" s="1">
        <v>3.0503190999999999E-2</v>
      </c>
      <c r="W37" s="1">
        <v>0.377126878</v>
      </c>
      <c r="X37" s="1">
        <v>75</v>
      </c>
      <c r="Y37" s="1" t="s">
        <v>45</v>
      </c>
      <c r="Z37" s="1" t="s">
        <v>46</v>
      </c>
      <c r="AA37" s="1">
        <v>1</v>
      </c>
      <c r="AB37" s="1">
        <v>73</v>
      </c>
      <c r="AC37" s="1">
        <v>0.432</v>
      </c>
      <c r="AD37" s="1" t="s">
        <v>46</v>
      </c>
      <c r="AE37" s="1">
        <v>0.51300000000000001</v>
      </c>
      <c r="AF37" s="1">
        <v>0.51307623899999999</v>
      </c>
      <c r="AG37" s="1">
        <v>0.51307623899999999</v>
      </c>
      <c r="AH37" s="1">
        <v>7.6700676999999995E-2</v>
      </c>
      <c r="AI37" s="1">
        <v>3.0503190999999999E-2</v>
      </c>
      <c r="AJ37" s="1">
        <f t="shared" si="1"/>
        <v>0.25653811949999999</v>
      </c>
    </row>
    <row r="38" spans="1:36" x14ac:dyDescent="0.3">
      <c r="A38" s="1">
        <v>55</v>
      </c>
      <c r="B38" s="1" t="s">
        <v>116</v>
      </c>
      <c r="C38" s="1" t="s">
        <v>135</v>
      </c>
      <c r="D38" s="1" t="s">
        <v>74</v>
      </c>
      <c r="G38" s="1" t="s">
        <v>136</v>
      </c>
      <c r="H38" s="1">
        <v>0.74</v>
      </c>
      <c r="I38" s="1" t="s">
        <v>13</v>
      </c>
      <c r="J38" s="1" t="s">
        <v>44</v>
      </c>
      <c r="K38" s="1">
        <v>0.7</v>
      </c>
      <c r="L38" s="1">
        <v>57</v>
      </c>
      <c r="M38" s="1" t="s">
        <v>45</v>
      </c>
      <c r="N38" s="1" t="s">
        <v>46</v>
      </c>
      <c r="O38" s="1">
        <v>2</v>
      </c>
      <c r="P38" s="1">
        <v>54</v>
      </c>
      <c r="Q38" s="1">
        <v>3.19</v>
      </c>
      <c r="R38" s="1" t="s">
        <v>50</v>
      </c>
      <c r="S38" s="1">
        <v>0.05</v>
      </c>
      <c r="T38" s="1">
        <v>4.9036286999999998E-2</v>
      </c>
      <c r="U38" s="1">
        <v>4.9036286999999998E-2</v>
      </c>
      <c r="W38" s="1">
        <v>0.229852265</v>
      </c>
      <c r="X38" s="1">
        <v>71</v>
      </c>
      <c r="Y38" s="1" t="s">
        <v>45</v>
      </c>
      <c r="Z38" s="1" t="s">
        <v>46</v>
      </c>
      <c r="AA38" s="1">
        <v>2</v>
      </c>
      <c r="AB38" s="1">
        <v>68</v>
      </c>
      <c r="AC38" s="1">
        <v>0.3</v>
      </c>
      <c r="AD38" s="1" t="s">
        <v>46</v>
      </c>
      <c r="AE38" s="1">
        <v>0.74</v>
      </c>
      <c r="AF38" s="1">
        <v>0.74179362699999996</v>
      </c>
      <c r="AG38" s="1">
        <v>0.74179362699999996</v>
      </c>
      <c r="AH38" s="1">
        <v>6.6130007000000005E-2</v>
      </c>
      <c r="AI38" s="1">
        <v>4.9036286999999998E-2</v>
      </c>
      <c r="AJ38" s="1">
        <f t="shared" si="1"/>
        <v>0.37089681349999998</v>
      </c>
    </row>
    <row r="39" spans="1:36" x14ac:dyDescent="0.3">
      <c r="A39" s="10">
        <v>56</v>
      </c>
      <c r="B39" s="10" t="s">
        <v>116</v>
      </c>
      <c r="C39" s="10" t="s">
        <v>137</v>
      </c>
      <c r="D39" s="10" t="s">
        <v>78</v>
      </c>
      <c r="E39" s="10"/>
      <c r="F39" s="10">
        <v>2</v>
      </c>
      <c r="G39" s="10" t="s">
        <v>138</v>
      </c>
      <c r="H39" s="10">
        <v>0.79600000000000004</v>
      </c>
      <c r="I39" s="10" t="s">
        <v>14</v>
      </c>
      <c r="J39" s="10" t="s">
        <v>44</v>
      </c>
      <c r="K39" s="10">
        <v>0.95</v>
      </c>
      <c r="L39" s="10">
        <v>103</v>
      </c>
      <c r="M39" s="10" t="s">
        <v>45</v>
      </c>
      <c r="N39" s="10" t="s">
        <v>46</v>
      </c>
      <c r="O39" s="10">
        <v>1</v>
      </c>
      <c r="P39" s="10">
        <v>99</v>
      </c>
      <c r="Q39" s="10">
        <v>16.62</v>
      </c>
      <c r="R39" s="10" t="s">
        <v>50</v>
      </c>
      <c r="S39" s="10">
        <v>1E-4</v>
      </c>
      <c r="T39" s="11">
        <v>9.2299999999999994E-5</v>
      </c>
      <c r="U39" s="11">
        <v>9.2299999999999994E-5</v>
      </c>
      <c r="V39" s="10"/>
      <c r="W39" s="10">
        <v>0.37913949499999999</v>
      </c>
      <c r="X39" s="10">
        <v>83</v>
      </c>
      <c r="Y39" s="10" t="s">
        <v>62</v>
      </c>
      <c r="Z39" s="10" t="s">
        <v>46</v>
      </c>
      <c r="AA39" s="10">
        <v>1</v>
      </c>
      <c r="AB39" s="10">
        <v>38</v>
      </c>
      <c r="AC39" s="10">
        <v>-0.26</v>
      </c>
      <c r="AD39" s="10" t="s">
        <v>46</v>
      </c>
      <c r="AE39" s="10">
        <v>0.79600000000000004</v>
      </c>
      <c r="AF39" s="10">
        <v>0.79626739400000002</v>
      </c>
      <c r="AG39" s="10">
        <v>0.79626739400000002</v>
      </c>
      <c r="AH39" s="10">
        <v>-4.2140103999999998E-2</v>
      </c>
      <c r="AI39" s="11">
        <v>9.2299999999999994E-5</v>
      </c>
      <c r="AJ39" s="10">
        <f t="shared" si="1"/>
        <v>0.60186630299999999</v>
      </c>
    </row>
    <row r="40" spans="1:36" x14ac:dyDescent="0.3">
      <c r="A40" s="1">
        <v>58</v>
      </c>
      <c r="B40" s="1" t="s">
        <v>116</v>
      </c>
      <c r="C40" s="1" t="s">
        <v>139</v>
      </c>
      <c r="D40" s="1" t="s">
        <v>74</v>
      </c>
      <c r="G40" s="1" t="s">
        <v>140</v>
      </c>
      <c r="H40" s="1">
        <v>0.54</v>
      </c>
      <c r="I40" s="1" t="s">
        <v>13</v>
      </c>
      <c r="J40" s="1" t="s">
        <v>44</v>
      </c>
      <c r="K40" s="1">
        <v>0.86</v>
      </c>
      <c r="L40" s="1">
        <v>186</v>
      </c>
      <c r="M40" s="1" t="s">
        <v>45</v>
      </c>
      <c r="N40" s="1" t="s">
        <v>46</v>
      </c>
      <c r="O40" s="1">
        <v>1</v>
      </c>
      <c r="P40" s="1">
        <v>182</v>
      </c>
      <c r="Q40" s="1">
        <v>5.24</v>
      </c>
      <c r="R40" s="1" t="s">
        <v>50</v>
      </c>
      <c r="S40" s="1">
        <v>0.05</v>
      </c>
      <c r="T40" s="1">
        <v>2.3221683999999999E-2</v>
      </c>
      <c r="U40" s="1">
        <v>2.3221683999999999E-2</v>
      </c>
      <c r="W40" s="1">
        <v>0.16728859300000001</v>
      </c>
      <c r="X40" s="1">
        <v>280</v>
      </c>
      <c r="Y40" s="1" t="s">
        <v>45</v>
      </c>
      <c r="Z40" s="1" t="s">
        <v>46</v>
      </c>
      <c r="AA40" s="1">
        <v>1</v>
      </c>
      <c r="AB40" s="1">
        <v>278</v>
      </c>
      <c r="AC40" s="1">
        <v>0.376</v>
      </c>
      <c r="AD40" s="1" t="s">
        <v>46</v>
      </c>
      <c r="AE40" s="1">
        <v>0.54</v>
      </c>
      <c r="AF40" s="1">
        <v>0.54025311799999998</v>
      </c>
      <c r="AG40" s="1">
        <v>0.54025311799999998</v>
      </c>
      <c r="AH40" s="1">
        <v>3.675175E-2</v>
      </c>
      <c r="AI40" s="1">
        <v>2.3221683999999999E-2</v>
      </c>
      <c r="AJ40" s="1">
        <f t="shared" si="1"/>
        <v>0.27012655899999999</v>
      </c>
    </row>
    <row r="41" spans="1:36" x14ac:dyDescent="0.3">
      <c r="A41" s="10">
        <v>61</v>
      </c>
      <c r="B41" s="10" t="s">
        <v>116</v>
      </c>
      <c r="C41" s="10" t="s">
        <v>141</v>
      </c>
      <c r="D41" s="10" t="s">
        <v>74</v>
      </c>
      <c r="E41" s="10">
        <v>2</v>
      </c>
      <c r="F41" s="10">
        <v>2</v>
      </c>
      <c r="G41" s="10" t="s">
        <v>142</v>
      </c>
      <c r="H41" s="10">
        <v>0.94</v>
      </c>
      <c r="I41" s="10" t="s">
        <v>14</v>
      </c>
      <c r="J41" s="10" t="s">
        <v>44</v>
      </c>
      <c r="K41" s="10">
        <v>0.99</v>
      </c>
      <c r="L41" s="10">
        <v>110</v>
      </c>
      <c r="M41" s="10" t="s">
        <v>62</v>
      </c>
      <c r="N41" s="10" t="s">
        <v>46</v>
      </c>
      <c r="O41" s="10">
        <v>1</v>
      </c>
      <c r="P41" s="10">
        <v>108</v>
      </c>
      <c r="Q41" s="10">
        <v>-2.34</v>
      </c>
      <c r="R41" s="10" t="s">
        <v>50</v>
      </c>
      <c r="S41" s="10">
        <v>0.05</v>
      </c>
      <c r="T41" s="10">
        <v>2.1121431999999999E-2</v>
      </c>
      <c r="U41" s="10">
        <v>2.1121431999999999E-2</v>
      </c>
      <c r="V41" s="10"/>
      <c r="W41" s="10">
        <v>0.219666896</v>
      </c>
      <c r="X41" s="10">
        <v>222</v>
      </c>
      <c r="Y41" s="10" t="s">
        <v>62</v>
      </c>
      <c r="Z41" s="10" t="s">
        <v>46</v>
      </c>
      <c r="AA41" s="10">
        <v>1</v>
      </c>
      <c r="AB41" s="10">
        <v>220</v>
      </c>
      <c r="AC41" s="10">
        <v>7.0000000000000007E-2</v>
      </c>
      <c r="AD41" s="10" t="s">
        <v>46</v>
      </c>
      <c r="AE41" s="10">
        <v>0.94</v>
      </c>
      <c r="AF41" s="10">
        <v>0.94425724600000005</v>
      </c>
      <c r="AG41" s="10">
        <v>0.94425724600000005</v>
      </c>
      <c r="AH41" s="10">
        <v>-4.7193460000000001E-3</v>
      </c>
      <c r="AI41" s="10">
        <v>2.1121431999999999E-2</v>
      </c>
      <c r="AJ41" s="10">
        <f t="shared" si="1"/>
        <v>0.52787137699999997</v>
      </c>
    </row>
    <row r="42" spans="1:36" x14ac:dyDescent="0.3">
      <c r="A42" s="1">
        <v>63</v>
      </c>
      <c r="B42" s="1" t="s">
        <v>116</v>
      </c>
      <c r="C42" s="1" t="s">
        <v>143</v>
      </c>
      <c r="D42" s="1" t="s">
        <v>131</v>
      </c>
      <c r="G42" s="1" t="s">
        <v>144</v>
      </c>
      <c r="H42" s="1">
        <v>0.374</v>
      </c>
      <c r="I42" s="1" t="s">
        <v>13</v>
      </c>
      <c r="J42" s="1" t="s">
        <v>44</v>
      </c>
      <c r="K42" s="1">
        <v>0.86</v>
      </c>
      <c r="L42" s="1">
        <v>71</v>
      </c>
      <c r="M42" s="1" t="s">
        <v>45</v>
      </c>
      <c r="N42" s="1" t="s">
        <v>46</v>
      </c>
      <c r="O42" s="1">
        <v>1</v>
      </c>
      <c r="P42" s="1">
        <v>68</v>
      </c>
      <c r="Q42" s="1">
        <v>5.52</v>
      </c>
      <c r="R42" s="1" t="s">
        <v>50</v>
      </c>
      <c r="S42" s="1">
        <v>0.02</v>
      </c>
      <c r="T42" s="1">
        <v>2.1711498999999999E-2</v>
      </c>
      <c r="U42" s="1">
        <v>2.1711498999999999E-2</v>
      </c>
      <c r="W42" s="1">
        <v>0.27401023800000002</v>
      </c>
      <c r="X42" s="1">
        <v>148</v>
      </c>
      <c r="Y42" s="1" t="s">
        <v>45</v>
      </c>
      <c r="Z42" s="1" t="s">
        <v>46</v>
      </c>
      <c r="AA42" s="1">
        <v>1</v>
      </c>
      <c r="AB42" s="1">
        <v>145</v>
      </c>
      <c r="AC42" s="1">
        <v>0.79400000000000004</v>
      </c>
      <c r="AD42" s="1" t="s">
        <v>46</v>
      </c>
      <c r="AE42" s="1">
        <v>0.374</v>
      </c>
      <c r="AF42" s="1">
        <v>0.374369532</v>
      </c>
      <c r="AG42" s="1">
        <v>0.374369532</v>
      </c>
      <c r="AH42" s="1">
        <v>7.3797292E-2</v>
      </c>
      <c r="AI42" s="1">
        <v>2.1711498999999999E-2</v>
      </c>
      <c r="AJ42" s="1">
        <f t="shared" si="1"/>
        <v>0.187184766</v>
      </c>
    </row>
    <row r="43" spans="1:36" x14ac:dyDescent="0.3">
      <c r="A43" s="1">
        <v>64</v>
      </c>
      <c r="B43" s="1" t="s">
        <v>116</v>
      </c>
      <c r="C43" s="1" t="s">
        <v>145</v>
      </c>
      <c r="D43" s="1" t="s">
        <v>78</v>
      </c>
      <c r="G43" s="1" t="s">
        <v>146</v>
      </c>
      <c r="H43" s="1">
        <v>0.42599999999999999</v>
      </c>
      <c r="I43" s="1" t="s">
        <v>13</v>
      </c>
      <c r="J43" s="1" t="s">
        <v>44</v>
      </c>
      <c r="K43" s="1">
        <v>0.99</v>
      </c>
      <c r="L43" s="1">
        <v>82</v>
      </c>
      <c r="M43" s="1" t="s">
        <v>45</v>
      </c>
      <c r="N43" s="1" t="s">
        <v>46</v>
      </c>
      <c r="O43" s="1">
        <v>2</v>
      </c>
      <c r="P43" s="1">
        <v>76</v>
      </c>
      <c r="Q43" s="1">
        <v>21.57</v>
      </c>
      <c r="R43" s="1" t="s">
        <v>50</v>
      </c>
      <c r="S43" s="1">
        <v>1E-4</v>
      </c>
      <c r="T43" s="2">
        <v>3.8099999999999997E-8</v>
      </c>
      <c r="U43" s="2">
        <v>3.8099999999999997E-8</v>
      </c>
      <c r="W43" s="1">
        <v>0.42549677699999999</v>
      </c>
      <c r="X43" s="1">
        <v>71</v>
      </c>
      <c r="Y43" s="1" t="s">
        <v>45</v>
      </c>
      <c r="Z43" s="1" t="s">
        <v>46</v>
      </c>
      <c r="AA43" s="1">
        <v>2</v>
      </c>
      <c r="AB43" s="1">
        <v>65</v>
      </c>
      <c r="AC43" s="1">
        <v>0.86499999999999999</v>
      </c>
      <c r="AD43" s="1" t="s">
        <v>46</v>
      </c>
      <c r="AE43" s="1">
        <v>0.42599999999999999</v>
      </c>
      <c r="AF43" s="1">
        <v>0.42584105900000002</v>
      </c>
      <c r="AG43" s="1">
        <v>0.42584105900000002</v>
      </c>
      <c r="AH43" s="1">
        <v>0.11385379</v>
      </c>
      <c r="AI43" s="2">
        <v>3.8099999999999997E-8</v>
      </c>
      <c r="AJ43" s="1">
        <f t="shared" si="1"/>
        <v>0.21292052950000001</v>
      </c>
    </row>
    <row r="44" spans="1:36" x14ac:dyDescent="0.3">
      <c r="A44" s="1">
        <v>65</v>
      </c>
      <c r="B44" s="1" t="s">
        <v>116</v>
      </c>
      <c r="C44" s="1" t="s">
        <v>147</v>
      </c>
      <c r="D44" s="1" t="s">
        <v>68</v>
      </c>
      <c r="G44" s="1" t="s">
        <v>148</v>
      </c>
      <c r="H44" s="1">
        <v>0.89</v>
      </c>
      <c r="I44" s="1" t="s">
        <v>13</v>
      </c>
      <c r="J44" s="1" t="s">
        <v>44</v>
      </c>
      <c r="K44" s="1">
        <v>0.99</v>
      </c>
      <c r="L44" s="1">
        <v>45</v>
      </c>
      <c r="M44" s="1" t="s">
        <v>45</v>
      </c>
      <c r="N44" s="1" t="s">
        <v>46</v>
      </c>
      <c r="O44" s="1">
        <v>1</v>
      </c>
      <c r="P44" s="1">
        <v>41</v>
      </c>
      <c r="Q44" s="1">
        <v>9.4</v>
      </c>
      <c r="R44" s="1" t="s">
        <v>50</v>
      </c>
      <c r="S44" s="1">
        <v>0.01</v>
      </c>
      <c r="T44" s="1">
        <v>3.8306759999999999E-3</v>
      </c>
      <c r="U44" s="1">
        <v>3.8306759999999999E-3</v>
      </c>
      <c r="W44" s="1">
        <v>0.43186564599999999</v>
      </c>
      <c r="X44" s="1">
        <v>135</v>
      </c>
      <c r="Y44" s="1" t="s">
        <v>45</v>
      </c>
      <c r="Z44" s="1" t="s">
        <v>46</v>
      </c>
      <c r="AA44" s="1">
        <v>1</v>
      </c>
      <c r="AB44" s="1">
        <v>131</v>
      </c>
      <c r="AC44" s="1">
        <v>1.7999999999999999E-2</v>
      </c>
      <c r="AD44" s="1" t="s">
        <v>46</v>
      </c>
      <c r="AE44" s="1">
        <v>0.89</v>
      </c>
      <c r="AF44" s="1">
        <v>0.89347873200000005</v>
      </c>
      <c r="AG44" s="1">
        <v>0.89347873200000005</v>
      </c>
      <c r="AH44" s="1">
        <v>1.1721165E-2</v>
      </c>
      <c r="AI44" s="1">
        <v>3.8306759999999999E-3</v>
      </c>
      <c r="AJ44" s="1">
        <f t="shared" si="1"/>
        <v>0.44673936600000003</v>
      </c>
    </row>
    <row r="45" spans="1:36" x14ac:dyDescent="0.3">
      <c r="A45" s="1">
        <v>68</v>
      </c>
      <c r="B45" s="1" t="s">
        <v>116</v>
      </c>
      <c r="C45" s="1" t="s">
        <v>150</v>
      </c>
      <c r="D45" s="1" t="s">
        <v>74</v>
      </c>
      <c r="G45" s="1" t="s">
        <v>151</v>
      </c>
      <c r="H45" s="1">
        <v>0.96099999999999997</v>
      </c>
      <c r="I45" s="1" t="s">
        <v>13</v>
      </c>
      <c r="J45" s="1" t="s">
        <v>152</v>
      </c>
      <c r="K45" s="1">
        <v>0.8</v>
      </c>
      <c r="L45" s="1">
        <v>122</v>
      </c>
      <c r="M45" s="1" t="s">
        <v>45</v>
      </c>
      <c r="N45" s="1" t="s">
        <v>46</v>
      </c>
      <c r="O45" s="1">
        <v>1</v>
      </c>
      <c r="P45" s="1">
        <v>116</v>
      </c>
      <c r="Q45" s="1">
        <v>4.1500000000000004</v>
      </c>
      <c r="R45" s="1" t="s">
        <v>50</v>
      </c>
      <c r="S45" s="1">
        <v>0.05</v>
      </c>
      <c r="T45" s="1">
        <v>4.3910405999999999E-2</v>
      </c>
      <c r="U45" s="1">
        <v>4.3910405999999999E-2</v>
      </c>
      <c r="W45" s="1">
        <v>0.185849827</v>
      </c>
      <c r="X45" s="1">
        <v>226</v>
      </c>
      <c r="Y45" s="1" t="s">
        <v>45</v>
      </c>
      <c r="Z45" s="1" t="s">
        <v>46</v>
      </c>
      <c r="AA45" s="1">
        <v>1</v>
      </c>
      <c r="AB45" s="1">
        <v>222</v>
      </c>
      <c r="AC45" s="1">
        <v>2E-3</v>
      </c>
      <c r="AD45" s="1" t="s">
        <v>46</v>
      </c>
      <c r="AE45" s="1">
        <v>0.96099999999999997</v>
      </c>
      <c r="AF45" s="1">
        <v>0.96436960900000002</v>
      </c>
      <c r="AG45" s="1">
        <v>0.96436960900000002</v>
      </c>
      <c r="AH45" s="1">
        <v>3.0014880000000001E-3</v>
      </c>
      <c r="AI45" s="1">
        <v>4.3910405999999999E-2</v>
      </c>
      <c r="AJ45" s="1">
        <f t="shared" si="1"/>
        <v>0.48218480450000001</v>
      </c>
    </row>
    <row r="46" spans="1:36" x14ac:dyDescent="0.3">
      <c r="A46" s="1">
        <v>69</v>
      </c>
      <c r="B46" s="1" t="s">
        <v>116</v>
      </c>
      <c r="C46" s="1" t="s">
        <v>7</v>
      </c>
      <c r="D46" s="1" t="s">
        <v>74</v>
      </c>
      <c r="E46" s="1">
        <v>2</v>
      </c>
      <c r="F46" s="1">
        <v>2</v>
      </c>
      <c r="G46" s="1" t="s">
        <v>7</v>
      </c>
      <c r="H46" s="1">
        <v>0.05</v>
      </c>
      <c r="I46" s="1" t="s">
        <v>13</v>
      </c>
      <c r="J46" s="1" t="s">
        <v>61</v>
      </c>
      <c r="K46" s="1">
        <v>0.99</v>
      </c>
      <c r="L46" s="1">
        <v>211</v>
      </c>
      <c r="M46" s="1" t="s">
        <v>153</v>
      </c>
      <c r="R46" s="1" t="s">
        <v>50</v>
      </c>
      <c r="S46" s="1">
        <v>0.05</v>
      </c>
      <c r="T46" s="1">
        <v>9.9999999999999995E-7</v>
      </c>
      <c r="U46" s="1">
        <v>9.9999999999999995E-7</v>
      </c>
      <c r="W46" s="1" t="s">
        <v>9</v>
      </c>
      <c r="X46" s="1">
        <v>333</v>
      </c>
      <c r="Y46" s="1" t="s">
        <v>153</v>
      </c>
      <c r="AA46" s="1">
        <v>333</v>
      </c>
      <c r="AD46" s="1" t="s">
        <v>46</v>
      </c>
      <c r="AE46" s="1">
        <v>0.05</v>
      </c>
      <c r="AF46" s="1">
        <v>9.9999999999999995E-7</v>
      </c>
      <c r="AG46" s="1">
        <v>9.9999999999999995E-7</v>
      </c>
      <c r="AI46" s="1">
        <v>9.9999999999999995E-7</v>
      </c>
      <c r="AJ46" s="1">
        <f t="shared" si="1"/>
        <v>4.9999999999999998E-7</v>
      </c>
    </row>
    <row r="47" spans="1:36" x14ac:dyDescent="0.3">
      <c r="A47" s="1">
        <v>71</v>
      </c>
      <c r="B47" s="1" t="s">
        <v>116</v>
      </c>
      <c r="C47" s="1" t="s">
        <v>154</v>
      </c>
      <c r="D47" s="1" t="s">
        <v>66</v>
      </c>
      <c r="E47" s="1">
        <v>2</v>
      </c>
      <c r="F47" s="1">
        <v>2</v>
      </c>
      <c r="G47" s="1" t="s">
        <v>155</v>
      </c>
      <c r="H47" s="1">
        <v>0.33200000000000002</v>
      </c>
      <c r="I47" s="1" t="s">
        <v>13</v>
      </c>
      <c r="J47" s="1" t="s">
        <v>44</v>
      </c>
      <c r="K47" s="1">
        <v>0.9</v>
      </c>
      <c r="L47" s="1">
        <v>375</v>
      </c>
      <c r="M47" s="1" t="s">
        <v>62</v>
      </c>
      <c r="N47" s="1" t="s">
        <v>46</v>
      </c>
      <c r="O47" s="1">
        <v>1</v>
      </c>
      <c r="P47" s="1">
        <v>373</v>
      </c>
      <c r="Q47" s="1">
        <v>4.4000000000000004</v>
      </c>
      <c r="R47" s="1" t="s">
        <v>50</v>
      </c>
      <c r="S47" s="1">
        <v>1E-3</v>
      </c>
      <c r="T47" s="2">
        <v>1.4100000000000001E-5</v>
      </c>
      <c r="U47" s="2">
        <v>1.4100000000000001E-5</v>
      </c>
      <c r="W47" s="1">
        <v>0.22213158399999999</v>
      </c>
      <c r="X47" s="1">
        <v>177</v>
      </c>
      <c r="Y47" s="1" t="s">
        <v>62</v>
      </c>
      <c r="Z47" s="1" t="s">
        <v>46</v>
      </c>
      <c r="AA47" s="1">
        <v>1</v>
      </c>
      <c r="AB47" s="1">
        <v>175</v>
      </c>
      <c r="AC47" s="1">
        <v>0.97299999999999998</v>
      </c>
      <c r="AD47" s="1" t="s">
        <v>46</v>
      </c>
      <c r="AE47" s="1">
        <v>0.33200000000000002</v>
      </c>
      <c r="AF47" s="1">
        <v>0.33189628599999998</v>
      </c>
      <c r="AG47" s="1">
        <v>0.33189628599999998</v>
      </c>
      <c r="AH47" s="1">
        <v>7.3353737000000002E-2</v>
      </c>
      <c r="AI47" s="2">
        <v>1.4100000000000001E-5</v>
      </c>
      <c r="AJ47" s="1">
        <f t="shared" si="1"/>
        <v>0.16594814299999999</v>
      </c>
    </row>
    <row r="48" spans="1:36" x14ac:dyDescent="0.3">
      <c r="A48" s="1">
        <v>72</v>
      </c>
      <c r="B48" s="1" t="s">
        <v>116</v>
      </c>
      <c r="C48" s="1" t="s">
        <v>156</v>
      </c>
      <c r="D48" s="1">
        <v>2E-3</v>
      </c>
      <c r="G48" s="1" t="s">
        <v>157</v>
      </c>
      <c r="H48" s="1">
        <v>0.49</v>
      </c>
      <c r="I48" s="1" t="s">
        <v>13</v>
      </c>
      <c r="J48" s="1" t="s">
        <v>44</v>
      </c>
      <c r="K48" s="1">
        <v>0.92</v>
      </c>
      <c r="L48" s="1">
        <v>261</v>
      </c>
      <c r="M48" s="1" t="s">
        <v>45</v>
      </c>
      <c r="N48" s="1" t="s">
        <v>46</v>
      </c>
      <c r="O48" s="1">
        <v>1</v>
      </c>
      <c r="P48" s="1">
        <v>257</v>
      </c>
      <c r="Q48" s="1">
        <v>11.58</v>
      </c>
      <c r="R48" s="1" t="s">
        <v>46</v>
      </c>
      <c r="S48" s="1">
        <v>2E-3</v>
      </c>
      <c r="T48" s="1">
        <v>7.7308699999999999E-4</v>
      </c>
      <c r="U48" s="1">
        <v>7.7308699999999999E-4</v>
      </c>
      <c r="W48" s="1">
        <v>0.20764307200000001</v>
      </c>
      <c r="X48" s="1">
        <v>251</v>
      </c>
      <c r="Y48" s="1" t="s">
        <v>45</v>
      </c>
      <c r="Z48" s="1" t="s">
        <v>46</v>
      </c>
      <c r="AA48" s="1">
        <v>1</v>
      </c>
      <c r="AB48" s="1">
        <v>247</v>
      </c>
      <c r="AC48" s="1">
        <v>0.49</v>
      </c>
      <c r="AD48" s="1" t="s">
        <v>46</v>
      </c>
      <c r="AE48" s="1">
        <v>0.49</v>
      </c>
      <c r="AF48" s="1">
        <v>0.48458606999999998</v>
      </c>
      <c r="AG48" s="1">
        <v>0.48458606999999998</v>
      </c>
      <c r="AH48" s="1">
        <v>4.4495819999999998E-2</v>
      </c>
      <c r="AI48" s="1">
        <v>7.7308699999999999E-4</v>
      </c>
      <c r="AJ48" s="1">
        <f t="shared" si="1"/>
        <v>0.24229303499999999</v>
      </c>
    </row>
    <row r="49" spans="1:36" x14ac:dyDescent="0.3">
      <c r="A49" s="1">
        <v>73</v>
      </c>
      <c r="B49" s="1" t="s">
        <v>116</v>
      </c>
      <c r="C49" s="1" t="s">
        <v>158</v>
      </c>
      <c r="D49" s="1" t="s">
        <v>74</v>
      </c>
      <c r="G49" s="1" t="s">
        <v>159</v>
      </c>
      <c r="H49" s="1">
        <v>2.8000000000000001E-2</v>
      </c>
      <c r="I49" s="1" t="s">
        <v>13</v>
      </c>
      <c r="J49" s="1" t="s">
        <v>61</v>
      </c>
      <c r="K49" s="1">
        <v>0.9</v>
      </c>
      <c r="L49" s="1">
        <v>37</v>
      </c>
      <c r="M49" s="1" t="s">
        <v>149</v>
      </c>
      <c r="N49" s="1" t="s">
        <v>46</v>
      </c>
      <c r="O49" s="1">
        <v>1</v>
      </c>
      <c r="Q49" s="1">
        <v>3.85</v>
      </c>
      <c r="R49" s="1" t="s">
        <v>50</v>
      </c>
      <c r="S49" s="1">
        <v>0.05</v>
      </c>
      <c r="T49" s="1">
        <v>4.9745991000000003E-2</v>
      </c>
      <c r="U49" s="1">
        <v>4.9745991000000003E-2</v>
      </c>
      <c r="W49" s="1">
        <v>0.32257410600000003</v>
      </c>
      <c r="X49" s="1">
        <v>120</v>
      </c>
      <c r="Y49" s="1" t="s">
        <v>149</v>
      </c>
      <c r="Z49" s="1" t="s">
        <v>46</v>
      </c>
      <c r="AA49" s="1">
        <v>1</v>
      </c>
      <c r="AC49" s="1">
        <v>4.8</v>
      </c>
      <c r="AD49" s="1" t="s">
        <v>46</v>
      </c>
      <c r="AE49" s="1">
        <v>2.8000000000000001E-2</v>
      </c>
      <c r="AF49" s="1">
        <v>2.8459736999999999E-2</v>
      </c>
      <c r="AG49" s="1">
        <v>2.8459736999999999E-2</v>
      </c>
      <c r="AH49" s="1">
        <v>0.2</v>
      </c>
      <c r="AI49" s="1">
        <v>4.9745991000000003E-2</v>
      </c>
      <c r="AJ49" s="1">
        <f t="shared" si="1"/>
        <v>1.4229868499999999E-2</v>
      </c>
    </row>
    <row r="50" spans="1:36" x14ac:dyDescent="0.3">
      <c r="A50" s="10">
        <v>77</v>
      </c>
      <c r="B50" s="10" t="s">
        <v>116</v>
      </c>
      <c r="C50" s="10" t="s">
        <v>160</v>
      </c>
      <c r="D50" s="10" t="s">
        <v>68</v>
      </c>
      <c r="E50" s="10"/>
      <c r="F50" s="10"/>
      <c r="G50" s="10" t="s">
        <v>161</v>
      </c>
      <c r="H50" s="10">
        <v>0.75800000000000001</v>
      </c>
      <c r="I50" s="10" t="s">
        <v>14</v>
      </c>
      <c r="J50" s="10" t="s">
        <v>44</v>
      </c>
      <c r="K50" s="10">
        <v>0.99</v>
      </c>
      <c r="L50" s="10">
        <v>246</v>
      </c>
      <c r="M50" s="10" t="s">
        <v>45</v>
      </c>
      <c r="N50" s="10" t="s">
        <v>46</v>
      </c>
      <c r="O50" s="10">
        <v>1</v>
      </c>
      <c r="P50" s="10">
        <v>242</v>
      </c>
      <c r="Q50" s="10">
        <v>10.47</v>
      </c>
      <c r="R50" s="10" t="s">
        <v>50</v>
      </c>
      <c r="S50" s="10">
        <v>0.01</v>
      </c>
      <c r="T50" s="10">
        <v>1.382678E-3</v>
      </c>
      <c r="U50" s="10">
        <v>1.382678E-3</v>
      </c>
      <c r="V50" s="10"/>
      <c r="W50" s="10">
        <v>0.203642514</v>
      </c>
      <c r="X50" s="10">
        <v>768703</v>
      </c>
      <c r="Y50" s="10" t="s">
        <v>121</v>
      </c>
      <c r="Z50" s="10" t="s">
        <v>46</v>
      </c>
      <c r="AA50" s="10"/>
      <c r="AB50" s="10"/>
      <c r="AC50" s="10">
        <v>0.46949999999999997</v>
      </c>
      <c r="AD50" s="10" t="s">
        <v>46</v>
      </c>
      <c r="AE50" s="10">
        <v>0.75800000000000001</v>
      </c>
      <c r="AF50" s="12">
        <v>0.75800000000000001</v>
      </c>
      <c r="AG50" s="10">
        <v>0.75800000000000001</v>
      </c>
      <c r="AH50" s="10"/>
      <c r="AI50" s="10">
        <v>1.382678E-3</v>
      </c>
      <c r="AJ50" s="10">
        <f t="shared" si="1"/>
        <v>0.621</v>
      </c>
    </row>
    <row r="51" spans="1:36" x14ac:dyDescent="0.3">
      <c r="A51" s="1">
        <v>80</v>
      </c>
      <c r="B51" s="1" t="s">
        <v>116</v>
      </c>
      <c r="C51" s="1" t="s">
        <v>162</v>
      </c>
      <c r="D51" s="1" t="s">
        <v>74</v>
      </c>
      <c r="G51" s="1" t="s">
        <v>163</v>
      </c>
      <c r="H51" s="1">
        <v>0.19</v>
      </c>
      <c r="I51" s="1" t="s">
        <v>13</v>
      </c>
      <c r="J51" s="1" t="s">
        <v>44</v>
      </c>
      <c r="K51" s="1">
        <v>0.84</v>
      </c>
      <c r="L51" s="1">
        <v>46</v>
      </c>
      <c r="M51" s="1" t="s">
        <v>45</v>
      </c>
      <c r="N51" s="1" t="s">
        <v>46</v>
      </c>
      <c r="O51" s="1">
        <v>2</v>
      </c>
      <c r="P51" s="1">
        <v>43</v>
      </c>
      <c r="Q51" s="1">
        <v>3.36</v>
      </c>
      <c r="R51" s="1" t="s">
        <v>50</v>
      </c>
      <c r="S51" s="1">
        <v>0.05</v>
      </c>
      <c r="T51" s="1">
        <v>4.4070981000000002E-2</v>
      </c>
      <c r="U51" s="1">
        <v>4.4070981000000002E-2</v>
      </c>
      <c r="W51" s="1">
        <v>0.25995853400000002</v>
      </c>
      <c r="X51" s="1">
        <v>70</v>
      </c>
      <c r="Y51" s="1" t="s">
        <v>45</v>
      </c>
      <c r="Z51" s="1" t="s">
        <v>46</v>
      </c>
      <c r="AA51" s="1">
        <v>2</v>
      </c>
      <c r="AB51" s="1">
        <v>67</v>
      </c>
      <c r="AC51" s="1">
        <v>1.7</v>
      </c>
      <c r="AD51" s="1" t="s">
        <v>46</v>
      </c>
      <c r="AE51" s="1">
        <v>0.19</v>
      </c>
      <c r="AF51" s="1">
        <v>0.19046790699999999</v>
      </c>
      <c r="AG51" s="1">
        <v>0.19046790699999999</v>
      </c>
      <c r="AH51" s="1">
        <v>0.15539538999999999</v>
      </c>
      <c r="AI51" s="1">
        <v>4.4070981000000002E-2</v>
      </c>
      <c r="AJ51" s="1">
        <f t="shared" si="1"/>
        <v>9.5233953499999996E-2</v>
      </c>
    </row>
    <row r="52" spans="1:36" x14ac:dyDescent="0.3">
      <c r="A52" s="10">
        <v>81</v>
      </c>
      <c r="B52" s="10" t="s">
        <v>116</v>
      </c>
      <c r="C52" s="10" t="s">
        <v>164</v>
      </c>
      <c r="D52" s="10" t="s">
        <v>74</v>
      </c>
      <c r="E52" s="10"/>
      <c r="F52" s="10"/>
      <c r="G52" s="10" t="s">
        <v>165</v>
      </c>
      <c r="H52" s="10">
        <v>0.23499999999999999</v>
      </c>
      <c r="I52" s="10" t="s">
        <v>14</v>
      </c>
      <c r="J52" s="10" t="s">
        <v>44</v>
      </c>
      <c r="K52" s="10">
        <v>0.89</v>
      </c>
      <c r="L52" s="10">
        <v>94</v>
      </c>
      <c r="M52" s="10" t="s">
        <v>45</v>
      </c>
      <c r="N52" s="10" t="s">
        <v>46</v>
      </c>
      <c r="O52" s="10">
        <v>1</v>
      </c>
      <c r="P52" s="10">
        <v>90</v>
      </c>
      <c r="Q52" s="10">
        <v>6.98</v>
      </c>
      <c r="R52" s="10" t="s">
        <v>50</v>
      </c>
      <c r="S52" s="10">
        <v>0.05</v>
      </c>
      <c r="T52" s="10">
        <v>9.7197619999999998E-3</v>
      </c>
      <c r="U52" s="10">
        <v>9.7197619999999998E-3</v>
      </c>
      <c r="V52" s="10"/>
      <c r="W52" s="10">
        <v>0.26827896499999998</v>
      </c>
      <c r="X52" s="10">
        <v>141</v>
      </c>
      <c r="Y52" s="10" t="s">
        <v>45</v>
      </c>
      <c r="Z52" s="10" t="s">
        <v>46</v>
      </c>
      <c r="AA52" s="10">
        <v>1</v>
      </c>
      <c r="AB52" s="10">
        <v>137</v>
      </c>
      <c r="AC52" s="10">
        <v>1.43</v>
      </c>
      <c r="AD52" s="10" t="s">
        <v>46</v>
      </c>
      <c r="AE52" s="10">
        <v>0.23499999999999999</v>
      </c>
      <c r="AF52" s="10">
        <v>0.23383009900000001</v>
      </c>
      <c r="AG52" s="10">
        <v>0.23383009900000001</v>
      </c>
      <c r="AH52" s="10">
        <v>-0.101637251</v>
      </c>
      <c r="AI52" s="10">
        <v>9.7197619999999998E-3</v>
      </c>
      <c r="AJ52" s="10">
        <f t="shared" si="1"/>
        <v>0.88308495050000002</v>
      </c>
    </row>
    <row r="53" spans="1:36" x14ac:dyDescent="0.3">
      <c r="A53" s="1">
        <v>82</v>
      </c>
      <c r="B53" s="1" t="s">
        <v>116</v>
      </c>
      <c r="C53" s="1" t="s">
        <v>166</v>
      </c>
      <c r="D53" s="1" t="s">
        <v>74</v>
      </c>
      <c r="F53" s="1">
        <v>2</v>
      </c>
      <c r="G53" s="1" t="s">
        <v>167</v>
      </c>
      <c r="H53" s="1">
        <v>8.5999999999999993E-2</v>
      </c>
      <c r="I53" s="1" t="s">
        <v>13</v>
      </c>
      <c r="J53" s="1" t="s">
        <v>44</v>
      </c>
      <c r="K53" s="1">
        <v>0.56000000000000005</v>
      </c>
      <c r="L53" s="1">
        <v>50</v>
      </c>
      <c r="M53" s="1" t="s">
        <v>112</v>
      </c>
      <c r="N53" s="1" t="s">
        <v>46</v>
      </c>
      <c r="O53" s="1">
        <v>41</v>
      </c>
      <c r="Q53" s="1">
        <v>0.3</v>
      </c>
      <c r="R53" s="1" t="s">
        <v>50</v>
      </c>
      <c r="S53" s="1">
        <v>0.05</v>
      </c>
      <c r="T53" s="1">
        <v>3.3841138999999999E-2</v>
      </c>
      <c r="U53" s="1">
        <v>3.3841138999999999E-2</v>
      </c>
      <c r="W53" s="1">
        <v>0.3</v>
      </c>
      <c r="X53" s="1">
        <v>50</v>
      </c>
      <c r="Y53" s="1" t="s">
        <v>112</v>
      </c>
      <c r="Z53" s="1" t="s">
        <v>46</v>
      </c>
      <c r="AA53" s="1">
        <v>41</v>
      </c>
      <c r="AC53" s="1">
        <v>0.27</v>
      </c>
      <c r="AD53" s="1" t="s">
        <v>46</v>
      </c>
      <c r="AE53" s="1">
        <v>8.5999999999999993E-2</v>
      </c>
      <c r="AF53" s="1">
        <v>5.7685184E-2</v>
      </c>
      <c r="AG53" s="1">
        <v>8.5999999999999993E-2</v>
      </c>
      <c r="AH53" s="1">
        <v>0.27</v>
      </c>
      <c r="AI53" s="1">
        <v>3.3841138999999999E-2</v>
      </c>
      <c r="AJ53" s="1">
        <f t="shared" si="1"/>
        <v>2.8842592E-2</v>
      </c>
    </row>
    <row r="54" spans="1:36" x14ac:dyDescent="0.3">
      <c r="A54" s="1">
        <v>84</v>
      </c>
      <c r="B54" s="1" t="s">
        <v>116</v>
      </c>
      <c r="C54" s="1" t="s">
        <v>168</v>
      </c>
      <c r="D54" s="1">
        <v>1E-3</v>
      </c>
      <c r="G54" s="1" t="s">
        <v>169</v>
      </c>
      <c r="H54" s="1">
        <v>8.0000000000000002E-3</v>
      </c>
      <c r="I54" s="1" t="s">
        <v>13</v>
      </c>
      <c r="J54" s="1" t="s">
        <v>61</v>
      </c>
      <c r="K54" s="1">
        <v>0.99</v>
      </c>
      <c r="L54" s="1">
        <v>52</v>
      </c>
      <c r="M54" s="1" t="s">
        <v>149</v>
      </c>
      <c r="N54" s="1" t="s">
        <v>46</v>
      </c>
      <c r="O54" s="1">
        <v>1</v>
      </c>
      <c r="Q54" s="1">
        <v>13.18</v>
      </c>
      <c r="R54" s="1" t="s">
        <v>46</v>
      </c>
      <c r="S54" s="1">
        <v>1E-3</v>
      </c>
      <c r="T54" s="1">
        <v>2.8295300000000001E-4</v>
      </c>
      <c r="U54" s="1">
        <v>2.8295300000000001E-4</v>
      </c>
      <c r="W54" s="1">
        <v>0.50344963799999998</v>
      </c>
      <c r="X54" s="1">
        <v>150</v>
      </c>
      <c r="Y54" s="1" t="s">
        <v>149</v>
      </c>
      <c r="Z54" s="1" t="s">
        <v>46</v>
      </c>
      <c r="AA54" s="1">
        <v>1</v>
      </c>
      <c r="AC54" s="1">
        <v>7.1</v>
      </c>
      <c r="AD54" s="1" t="s">
        <v>46</v>
      </c>
      <c r="AE54" s="1">
        <v>8.0000000000000002E-3</v>
      </c>
      <c r="AF54" s="1">
        <v>7.7083949999999998E-3</v>
      </c>
      <c r="AG54" s="1">
        <v>7.7083949999999998E-3</v>
      </c>
      <c r="AH54" s="1">
        <v>0.21756225200000001</v>
      </c>
      <c r="AI54" s="1">
        <v>2.8295300000000001E-4</v>
      </c>
      <c r="AJ54" s="1">
        <f t="shared" si="1"/>
        <v>3.8541974999999999E-3</v>
      </c>
    </row>
    <row r="55" spans="1:36" x14ac:dyDescent="0.3">
      <c r="A55" s="1">
        <v>86</v>
      </c>
      <c r="B55" s="1" t="s">
        <v>116</v>
      </c>
      <c r="C55" s="1" t="s">
        <v>170</v>
      </c>
      <c r="D55" s="1">
        <v>0.02</v>
      </c>
      <c r="G55" s="1" t="s">
        <v>171</v>
      </c>
      <c r="H55" s="1">
        <v>0.14000000000000001</v>
      </c>
      <c r="I55" s="1" t="s">
        <v>13</v>
      </c>
      <c r="J55" s="1" t="s">
        <v>44</v>
      </c>
      <c r="K55" s="1">
        <v>0.9</v>
      </c>
      <c r="L55" s="1">
        <v>85</v>
      </c>
      <c r="M55" s="1" t="s">
        <v>45</v>
      </c>
      <c r="N55" s="1" t="s">
        <v>46</v>
      </c>
      <c r="O55" s="1">
        <v>2</v>
      </c>
      <c r="P55" s="1">
        <v>82</v>
      </c>
      <c r="Q55" s="1">
        <v>4.05</v>
      </c>
      <c r="R55" s="1" t="s">
        <v>46</v>
      </c>
      <c r="S55" s="1">
        <v>0.02</v>
      </c>
      <c r="T55" s="1">
        <v>2.102091E-2</v>
      </c>
      <c r="U55" s="1">
        <v>2.102091E-2</v>
      </c>
      <c r="W55" s="1">
        <v>0.212014281</v>
      </c>
      <c r="X55" s="1">
        <v>140</v>
      </c>
      <c r="Y55" s="1" t="s">
        <v>45</v>
      </c>
      <c r="Z55" s="1" t="s">
        <v>46</v>
      </c>
      <c r="AA55" s="1">
        <v>2</v>
      </c>
      <c r="AB55" s="1">
        <v>137</v>
      </c>
      <c r="AC55" s="1">
        <v>1.99</v>
      </c>
      <c r="AD55" s="1" t="s">
        <v>46</v>
      </c>
      <c r="AE55" s="1">
        <v>0.14000000000000001</v>
      </c>
      <c r="AF55" s="1">
        <v>0.140627311</v>
      </c>
      <c r="AG55" s="1">
        <v>0.140627311</v>
      </c>
      <c r="AH55" s="1">
        <v>0.118808574</v>
      </c>
      <c r="AI55" s="1">
        <v>2.102091E-2</v>
      </c>
      <c r="AJ55" s="1">
        <f t="shared" si="1"/>
        <v>7.0313655500000002E-2</v>
      </c>
    </row>
    <row r="56" spans="1:36" x14ac:dyDescent="0.3">
      <c r="A56" s="1">
        <v>87</v>
      </c>
      <c r="B56" s="1" t="s">
        <v>116</v>
      </c>
      <c r="C56" s="1" t="s">
        <v>172</v>
      </c>
      <c r="D56" s="1" t="s">
        <v>68</v>
      </c>
      <c r="G56" s="1" t="s">
        <v>173</v>
      </c>
      <c r="H56" s="1">
        <v>0.92800000000000005</v>
      </c>
      <c r="I56" s="1" t="s">
        <v>13</v>
      </c>
      <c r="J56" s="1" t="s">
        <v>44</v>
      </c>
      <c r="K56" s="1">
        <v>0.86</v>
      </c>
      <c r="L56" s="1">
        <v>55</v>
      </c>
      <c r="M56" s="1" t="s">
        <v>45</v>
      </c>
      <c r="N56" s="1" t="s">
        <v>46</v>
      </c>
      <c r="O56" s="1">
        <v>1</v>
      </c>
      <c r="P56" s="1">
        <v>51</v>
      </c>
      <c r="Q56" s="1">
        <v>9.4600000000000009</v>
      </c>
      <c r="R56" s="1" t="s">
        <v>50</v>
      </c>
      <c r="S56" s="1">
        <v>0.01</v>
      </c>
      <c r="T56" s="1">
        <v>3.3717560000000001E-3</v>
      </c>
      <c r="U56" s="1">
        <v>3.3717560000000001E-3</v>
      </c>
      <c r="W56" s="1">
        <v>0.395559206</v>
      </c>
      <c r="X56" s="1">
        <v>51</v>
      </c>
      <c r="Y56" s="1" t="s">
        <v>45</v>
      </c>
      <c r="Z56" s="1" t="s">
        <v>46</v>
      </c>
      <c r="AA56" s="1">
        <v>1</v>
      </c>
      <c r="AB56" s="1">
        <v>47</v>
      </c>
      <c r="AC56" s="1">
        <v>8.0000000000000002E-3</v>
      </c>
      <c r="AD56" s="1" t="s">
        <v>46</v>
      </c>
      <c r="AE56" s="1">
        <v>0.92800000000000005</v>
      </c>
      <c r="AF56" s="1">
        <v>0.92911013899999995</v>
      </c>
      <c r="AG56" s="1">
        <v>0.92911013899999995</v>
      </c>
      <c r="AH56" s="1">
        <v>1.3045451E-2</v>
      </c>
      <c r="AI56" s="1">
        <v>3.3717560000000001E-3</v>
      </c>
      <c r="AJ56" s="1">
        <f t="shared" si="1"/>
        <v>0.46455506949999997</v>
      </c>
    </row>
    <row r="57" spans="1:36" x14ac:dyDescent="0.3">
      <c r="A57" s="1">
        <v>89</v>
      </c>
      <c r="B57" s="1" t="s">
        <v>116</v>
      </c>
      <c r="C57" s="1" t="s">
        <v>174</v>
      </c>
      <c r="D57" s="1">
        <v>0.48</v>
      </c>
      <c r="G57" s="1" t="s">
        <v>175</v>
      </c>
      <c r="H57" s="1">
        <v>0.87</v>
      </c>
      <c r="I57" s="1" t="s">
        <v>13</v>
      </c>
      <c r="J57" s="1" t="s">
        <v>61</v>
      </c>
      <c r="K57" s="1">
        <v>0.8</v>
      </c>
      <c r="L57" s="1">
        <v>163</v>
      </c>
      <c r="M57" s="1" t="s">
        <v>62</v>
      </c>
      <c r="N57" s="1" t="s">
        <v>46</v>
      </c>
      <c r="O57" s="1">
        <v>1</v>
      </c>
      <c r="P57" s="1">
        <v>26</v>
      </c>
      <c r="Q57" s="1">
        <v>0.72</v>
      </c>
      <c r="R57" s="1" t="s">
        <v>46</v>
      </c>
      <c r="S57" s="1">
        <v>0.48</v>
      </c>
      <c r="T57" s="1">
        <v>0.47794817699999997</v>
      </c>
      <c r="U57" s="1">
        <v>0.47794817699999997</v>
      </c>
      <c r="W57" s="1">
        <v>0.139816632</v>
      </c>
      <c r="X57" s="1">
        <v>304</v>
      </c>
      <c r="Y57" s="1" t="s">
        <v>62</v>
      </c>
      <c r="Z57" s="1" t="s">
        <v>46</v>
      </c>
      <c r="AA57" s="1">
        <v>1</v>
      </c>
      <c r="AB57" s="1">
        <v>26</v>
      </c>
      <c r="AC57" s="1">
        <v>0.15</v>
      </c>
      <c r="AD57" s="1" t="s">
        <v>46</v>
      </c>
      <c r="AE57" s="1">
        <v>0.87</v>
      </c>
      <c r="AF57" s="1">
        <v>0.88192219599999999</v>
      </c>
      <c r="AG57" s="1">
        <v>0.88192219599999999</v>
      </c>
      <c r="AH57" s="1">
        <v>2.9404699999999999E-2</v>
      </c>
      <c r="AI57" s="1">
        <v>0.47794817699999997</v>
      </c>
      <c r="AJ57" s="1">
        <f t="shared" si="1"/>
        <v>0.440961098</v>
      </c>
    </row>
    <row r="58" spans="1:36" x14ac:dyDescent="0.3">
      <c r="A58" s="10">
        <v>93</v>
      </c>
      <c r="B58" s="10" t="s">
        <v>116</v>
      </c>
      <c r="C58" s="10" t="s">
        <v>176</v>
      </c>
      <c r="D58" s="10" t="s">
        <v>68</v>
      </c>
      <c r="E58" s="10"/>
      <c r="F58" s="10"/>
      <c r="G58" s="10" t="s">
        <v>177</v>
      </c>
      <c r="H58" s="10">
        <v>0.26500000000000001</v>
      </c>
      <c r="I58" s="10" t="s">
        <v>14</v>
      </c>
      <c r="J58" s="10" t="s">
        <v>44</v>
      </c>
      <c r="K58" s="10">
        <v>0.81</v>
      </c>
      <c r="L58" s="10">
        <v>91</v>
      </c>
      <c r="M58" s="10" t="s">
        <v>62</v>
      </c>
      <c r="N58" s="10" t="s">
        <v>46</v>
      </c>
      <c r="O58" s="10">
        <v>1</v>
      </c>
      <c r="P58" s="10">
        <v>83</v>
      </c>
      <c r="Q58" s="10">
        <v>3.05</v>
      </c>
      <c r="R58" s="10" t="s">
        <v>50</v>
      </c>
      <c r="S58" s="10">
        <v>0.01</v>
      </c>
      <c r="T58" s="10">
        <v>3.071238E-3</v>
      </c>
      <c r="U58" s="10">
        <v>3.071238E-3</v>
      </c>
      <c r="V58" s="10"/>
      <c r="W58" s="10">
        <v>0.317462994</v>
      </c>
      <c r="X58" s="10">
        <v>76</v>
      </c>
      <c r="Y58" s="10" t="s">
        <v>62</v>
      </c>
      <c r="Z58" s="10" t="s">
        <v>46</v>
      </c>
      <c r="AA58" s="10">
        <v>1</v>
      </c>
      <c r="AB58" s="10">
        <v>68</v>
      </c>
      <c r="AC58" s="10">
        <v>-1.1240000000000001</v>
      </c>
      <c r="AD58" s="10" t="s">
        <v>46</v>
      </c>
      <c r="AE58" s="10">
        <v>0.26500000000000001</v>
      </c>
      <c r="AF58" s="10">
        <v>0.26496530000000001</v>
      </c>
      <c r="AG58" s="10">
        <v>0.26496530000000001</v>
      </c>
      <c r="AH58" s="10">
        <v>-0.1351</v>
      </c>
      <c r="AI58" s="10">
        <v>3.071238E-3</v>
      </c>
      <c r="AJ58" s="10">
        <f t="shared" si="1"/>
        <v>0.86751734999999996</v>
      </c>
    </row>
    <row r="59" spans="1:36" x14ac:dyDescent="0.3">
      <c r="A59" s="3">
        <v>94</v>
      </c>
      <c r="B59" s="3" t="s">
        <v>116</v>
      </c>
      <c r="C59" s="3" t="s">
        <v>178</v>
      </c>
      <c r="D59" s="3" t="s">
        <v>74</v>
      </c>
      <c r="E59" s="3">
        <v>1</v>
      </c>
      <c r="F59" s="3">
        <v>1</v>
      </c>
      <c r="G59" s="3" t="s">
        <v>179</v>
      </c>
      <c r="H59" s="3">
        <v>1.175E-2</v>
      </c>
      <c r="I59" s="3" t="s">
        <v>13</v>
      </c>
      <c r="J59" s="3" t="s">
        <v>61</v>
      </c>
      <c r="K59" s="3">
        <v>0.88</v>
      </c>
      <c r="L59" s="3">
        <v>28</v>
      </c>
      <c r="M59" s="3" t="s">
        <v>62</v>
      </c>
      <c r="N59" s="3" t="s">
        <v>46</v>
      </c>
      <c r="O59" s="3">
        <v>1</v>
      </c>
      <c r="P59" s="3">
        <v>26</v>
      </c>
      <c r="Q59" s="3">
        <v>1.87</v>
      </c>
      <c r="R59" s="3" t="s">
        <v>50</v>
      </c>
      <c r="S59" s="3">
        <v>0.05</v>
      </c>
      <c r="T59" s="3">
        <v>7.2784037999999995E-2</v>
      </c>
      <c r="U59" s="3">
        <v>3.6392018999999998E-2</v>
      </c>
      <c r="V59" s="3"/>
      <c r="W59" s="3">
        <v>0.34431299900000001</v>
      </c>
      <c r="X59" s="3">
        <v>61</v>
      </c>
      <c r="Y59" s="3" t="s">
        <v>62</v>
      </c>
      <c r="Z59" s="3" t="s">
        <v>46</v>
      </c>
      <c r="AA59" s="3">
        <v>1</v>
      </c>
      <c r="AB59" s="3">
        <v>59</v>
      </c>
      <c r="AC59" s="3">
        <v>2.3250000000000002</v>
      </c>
      <c r="AD59" s="3" t="s">
        <v>46</v>
      </c>
      <c r="AE59" s="3">
        <v>1.175E-2</v>
      </c>
      <c r="AF59" s="3">
        <v>2.3531666999999999E-2</v>
      </c>
      <c r="AG59" s="3">
        <v>1.1765833999999999E-2</v>
      </c>
      <c r="AH59" s="3">
        <v>0.28970837999999999</v>
      </c>
      <c r="AI59" s="3">
        <v>7.2784037999999995E-2</v>
      </c>
      <c r="AJ59" s="3">
        <f t="shared" si="1"/>
        <v>1.17658335E-2</v>
      </c>
    </row>
    <row r="60" spans="1:36" x14ac:dyDescent="0.3">
      <c r="A60" s="10">
        <v>97</v>
      </c>
      <c r="B60" s="10" t="s">
        <v>116</v>
      </c>
      <c r="C60" s="10" t="s">
        <v>180</v>
      </c>
      <c r="D60" s="10">
        <v>1E-3</v>
      </c>
      <c r="E60" s="10"/>
      <c r="F60" s="10">
        <v>2</v>
      </c>
      <c r="G60" s="10" t="s">
        <v>181</v>
      </c>
      <c r="H60" s="10">
        <v>0.154</v>
      </c>
      <c r="I60" s="10" t="s">
        <v>14</v>
      </c>
      <c r="J60" s="10" t="s">
        <v>152</v>
      </c>
      <c r="K60" s="10">
        <v>0.99</v>
      </c>
      <c r="L60" s="10">
        <v>90</v>
      </c>
      <c r="M60" s="10" t="s">
        <v>45</v>
      </c>
      <c r="N60" s="10" t="s">
        <v>46</v>
      </c>
      <c r="O60" s="10">
        <v>1</v>
      </c>
      <c r="P60" s="10">
        <v>73</v>
      </c>
      <c r="Q60" s="10">
        <v>12.19</v>
      </c>
      <c r="R60" s="10" t="s">
        <v>46</v>
      </c>
      <c r="S60" s="10">
        <v>1E-3</v>
      </c>
      <c r="T60" s="10">
        <v>8.1927699999999998E-4</v>
      </c>
      <c r="U60" s="10">
        <v>8.1927699999999998E-4</v>
      </c>
      <c r="V60" s="10"/>
      <c r="W60" s="10">
        <v>0.37827491600000002</v>
      </c>
      <c r="X60" s="10">
        <v>1490</v>
      </c>
      <c r="Y60" s="10" t="s">
        <v>45</v>
      </c>
      <c r="Z60" s="10" t="s">
        <v>46</v>
      </c>
      <c r="AA60" s="10">
        <v>1</v>
      </c>
      <c r="AB60" s="10">
        <v>1486</v>
      </c>
      <c r="AC60" s="10">
        <v>2.0299999999999998</v>
      </c>
      <c r="AD60" s="10" t="s">
        <v>46</v>
      </c>
      <c r="AE60" s="10">
        <v>0.154</v>
      </c>
      <c r="AF60" s="10">
        <v>0.15443058600000001</v>
      </c>
      <c r="AG60" s="10">
        <v>0.15443058600000001</v>
      </c>
      <c r="AH60" s="10">
        <v>-3.6935346000000001E-2</v>
      </c>
      <c r="AI60" s="10">
        <v>8.1927699999999998E-4</v>
      </c>
      <c r="AJ60" s="10">
        <f t="shared" si="1"/>
        <v>0.92278470700000004</v>
      </c>
    </row>
    <row r="61" spans="1:36" x14ac:dyDescent="0.3">
      <c r="A61" s="1">
        <v>104</v>
      </c>
      <c r="B61" s="1" t="s">
        <v>116</v>
      </c>
      <c r="C61" s="1" t="s">
        <v>182</v>
      </c>
      <c r="D61" s="1">
        <v>0.05</v>
      </c>
      <c r="G61" s="1" t="s">
        <v>183</v>
      </c>
      <c r="H61" s="1">
        <v>0.53</v>
      </c>
      <c r="I61" s="1" t="s">
        <v>13</v>
      </c>
      <c r="J61" s="1" t="s">
        <v>44</v>
      </c>
      <c r="K61" s="1">
        <v>0.99</v>
      </c>
      <c r="L61" s="1">
        <v>236</v>
      </c>
      <c r="M61" s="1" t="s">
        <v>149</v>
      </c>
      <c r="N61" s="1" t="s">
        <v>46</v>
      </c>
      <c r="O61" s="1">
        <v>1</v>
      </c>
      <c r="Q61" s="1">
        <v>3.83</v>
      </c>
      <c r="R61" s="1" t="s">
        <v>46</v>
      </c>
      <c r="S61" s="1">
        <v>0.05</v>
      </c>
      <c r="T61" s="1">
        <v>5.0342932999999999E-2</v>
      </c>
      <c r="U61" s="1">
        <v>5.0342932999999999E-2</v>
      </c>
      <c r="W61" s="1">
        <v>0.12739236100000001</v>
      </c>
      <c r="X61" s="1">
        <v>1146</v>
      </c>
      <c r="Y61" s="1" t="s">
        <v>149</v>
      </c>
      <c r="Z61" s="1" t="s">
        <v>46</v>
      </c>
      <c r="AA61" s="1">
        <v>1</v>
      </c>
      <c r="AC61" s="1">
        <v>0.38700000000000001</v>
      </c>
      <c r="AD61" s="1" t="s">
        <v>46</v>
      </c>
      <c r="AE61" s="1">
        <v>0.53</v>
      </c>
      <c r="AF61" s="1">
        <v>0.53388055899999998</v>
      </c>
      <c r="AG61" s="1">
        <v>0.53388055899999998</v>
      </c>
      <c r="AH61" s="1">
        <v>1.8376515999999999E-2</v>
      </c>
      <c r="AI61" s="1">
        <v>5.0342932999999999E-2</v>
      </c>
      <c r="AJ61" s="1">
        <f t="shared" si="1"/>
        <v>0.26694027949999999</v>
      </c>
    </row>
    <row r="62" spans="1:36" x14ac:dyDescent="0.3">
      <c r="A62" s="1">
        <v>106</v>
      </c>
      <c r="B62" s="1" t="s">
        <v>41</v>
      </c>
      <c r="C62" s="1" t="s">
        <v>184</v>
      </c>
      <c r="D62" s="1" t="s">
        <v>74</v>
      </c>
      <c r="E62" s="1">
        <v>2</v>
      </c>
      <c r="F62" s="1">
        <v>2</v>
      </c>
      <c r="G62" s="1" t="s">
        <v>185</v>
      </c>
      <c r="H62" s="1">
        <v>0.13200000000000001</v>
      </c>
      <c r="I62" s="1" t="s">
        <v>13</v>
      </c>
      <c r="J62" s="1" t="s">
        <v>44</v>
      </c>
      <c r="K62" s="1">
        <v>0.8</v>
      </c>
      <c r="L62" s="1">
        <v>36</v>
      </c>
      <c r="M62" s="1" t="s">
        <v>45</v>
      </c>
      <c r="N62" s="1" t="s">
        <v>46</v>
      </c>
      <c r="O62" s="1">
        <v>1</v>
      </c>
      <c r="P62" s="1">
        <v>34</v>
      </c>
      <c r="Q62" s="1">
        <v>5.8</v>
      </c>
      <c r="R62" s="1" t="s">
        <v>50</v>
      </c>
      <c r="S62" s="1">
        <v>0.05</v>
      </c>
      <c r="T62" s="1">
        <v>2.1595498000000001E-2</v>
      </c>
      <c r="U62" s="1">
        <v>2.1595498000000001E-2</v>
      </c>
      <c r="W62" s="1">
        <v>0.38174421200000003</v>
      </c>
      <c r="X62" s="1">
        <v>47</v>
      </c>
      <c r="Y62" s="1" t="s">
        <v>62</v>
      </c>
      <c r="Z62" s="1" t="s">
        <v>46</v>
      </c>
      <c r="AA62" s="1">
        <v>1</v>
      </c>
      <c r="AB62" s="1">
        <v>45</v>
      </c>
      <c r="AC62" s="1">
        <v>1.534</v>
      </c>
      <c r="AD62" s="1" t="s">
        <v>46</v>
      </c>
      <c r="AE62" s="1">
        <v>0.13200000000000001</v>
      </c>
      <c r="AF62" s="1">
        <v>0.13203104399999999</v>
      </c>
      <c r="AG62" s="1">
        <v>0.13203104399999999</v>
      </c>
      <c r="AH62" s="1">
        <v>-0.222920955</v>
      </c>
      <c r="AI62" s="1">
        <v>2.1595498000000001E-2</v>
      </c>
      <c r="AJ62" s="1">
        <f t="shared" si="1"/>
        <v>6.6015521999999993E-2</v>
      </c>
    </row>
    <row r="63" spans="1:36" x14ac:dyDescent="0.3">
      <c r="A63" s="10">
        <v>107</v>
      </c>
      <c r="B63" s="10" t="s">
        <v>116</v>
      </c>
      <c r="C63" s="10" t="s">
        <v>186</v>
      </c>
      <c r="D63" s="10" t="s">
        <v>187</v>
      </c>
      <c r="E63" s="10">
        <v>2</v>
      </c>
      <c r="F63" s="10">
        <v>2</v>
      </c>
      <c r="G63" s="10" t="s">
        <v>188</v>
      </c>
      <c r="H63" s="10">
        <v>0.189</v>
      </c>
      <c r="I63" s="10" t="s">
        <v>14</v>
      </c>
      <c r="J63" s="10" t="s">
        <v>44</v>
      </c>
      <c r="K63" s="10">
        <v>0.8</v>
      </c>
      <c r="L63" s="10">
        <v>86</v>
      </c>
      <c r="M63" s="10" t="s">
        <v>62</v>
      </c>
      <c r="N63" s="10" t="s">
        <v>46</v>
      </c>
      <c r="O63" s="10">
        <v>1</v>
      </c>
      <c r="P63" s="10">
        <v>84</v>
      </c>
      <c r="Q63" s="10">
        <v>2.09</v>
      </c>
      <c r="R63" s="10" t="s">
        <v>189</v>
      </c>
      <c r="S63" s="10">
        <v>0.92</v>
      </c>
      <c r="T63" s="10">
        <v>3.9641745999999999E-2</v>
      </c>
      <c r="U63" s="10">
        <v>3.9641745999999999E-2</v>
      </c>
      <c r="V63" s="10"/>
      <c r="W63" s="10">
        <v>0.22233023499999999</v>
      </c>
      <c r="X63" s="10">
        <v>158</v>
      </c>
      <c r="Y63" s="10" t="s">
        <v>62</v>
      </c>
      <c r="Z63" s="10" t="s">
        <v>46</v>
      </c>
      <c r="AA63" s="10">
        <v>1</v>
      </c>
      <c r="AB63" s="10">
        <v>156</v>
      </c>
      <c r="AC63" s="10">
        <v>1.3180000000000001</v>
      </c>
      <c r="AD63" s="10" t="s">
        <v>46</v>
      </c>
      <c r="AE63" s="10">
        <v>0.189</v>
      </c>
      <c r="AF63" s="10">
        <v>0.18943574199999999</v>
      </c>
      <c r="AG63" s="10">
        <v>0.18943574199999999</v>
      </c>
      <c r="AH63" s="10">
        <v>0.104941786</v>
      </c>
      <c r="AI63" s="10">
        <v>3.9641745999999999E-2</v>
      </c>
      <c r="AJ63" s="10">
        <f t="shared" si="1"/>
        <v>0.90528212900000005</v>
      </c>
    </row>
    <row r="64" spans="1:36" x14ac:dyDescent="0.3">
      <c r="A64" s="1">
        <v>110</v>
      </c>
      <c r="B64" s="1" t="s">
        <v>116</v>
      </c>
      <c r="C64" s="1" t="s">
        <v>190</v>
      </c>
      <c r="D64" s="1" t="s">
        <v>66</v>
      </c>
      <c r="E64" s="1">
        <v>2</v>
      </c>
      <c r="G64" s="1" t="s">
        <v>191</v>
      </c>
      <c r="H64" s="1">
        <v>0.28000000000000003</v>
      </c>
      <c r="I64" s="1" t="s">
        <v>13</v>
      </c>
      <c r="J64" s="1" t="s">
        <v>44</v>
      </c>
      <c r="K64" s="1">
        <v>0.99</v>
      </c>
      <c r="L64" s="1">
        <v>280</v>
      </c>
      <c r="M64" s="1" t="s">
        <v>45</v>
      </c>
      <c r="N64" s="1" t="s">
        <v>46</v>
      </c>
      <c r="O64" s="1">
        <v>1</v>
      </c>
      <c r="P64" s="1">
        <v>278</v>
      </c>
      <c r="Q64" s="1">
        <v>123.38</v>
      </c>
      <c r="R64" s="1" t="s">
        <v>50</v>
      </c>
      <c r="S64" s="1">
        <v>1E-3</v>
      </c>
      <c r="T64" s="2">
        <v>5.7599999999999999E-24</v>
      </c>
      <c r="U64" s="2">
        <v>5.7599999999999999E-24</v>
      </c>
      <c r="W64" s="1">
        <v>0.55442718700000004</v>
      </c>
      <c r="X64" s="1">
        <v>144</v>
      </c>
      <c r="Y64" s="1" t="s">
        <v>45</v>
      </c>
      <c r="Z64" s="1" t="s">
        <v>46</v>
      </c>
      <c r="AA64" s="1">
        <v>1</v>
      </c>
      <c r="AB64" s="1">
        <v>142</v>
      </c>
      <c r="AC64" s="1">
        <v>1.19</v>
      </c>
      <c r="AD64" s="1" t="s">
        <v>46</v>
      </c>
      <c r="AE64" s="1">
        <v>0.28000000000000003</v>
      </c>
      <c r="AF64" s="1">
        <v>0.27717711900000003</v>
      </c>
      <c r="AG64" s="1">
        <v>0.27717711900000003</v>
      </c>
      <c r="AH64" s="1">
        <v>9.1162691000000004E-2</v>
      </c>
      <c r="AI64" s="2">
        <v>5.7599999999999999E-24</v>
      </c>
      <c r="AJ64" s="1">
        <f t="shared" si="1"/>
        <v>0.13858855950000001</v>
      </c>
    </row>
    <row r="65" spans="1:36" x14ac:dyDescent="0.3">
      <c r="A65" s="1">
        <v>111</v>
      </c>
      <c r="B65" s="1" t="s">
        <v>41</v>
      </c>
      <c r="C65" s="1" t="s">
        <v>192</v>
      </c>
      <c r="D65" s="1" t="s">
        <v>193</v>
      </c>
      <c r="G65" s="1" t="s">
        <v>194</v>
      </c>
      <c r="H65" s="1">
        <v>1.4E-2</v>
      </c>
      <c r="I65" s="1" t="s">
        <v>13</v>
      </c>
      <c r="J65" s="1" t="s">
        <v>61</v>
      </c>
      <c r="K65" s="1">
        <v>0.99</v>
      </c>
      <c r="L65" s="1">
        <v>59</v>
      </c>
      <c r="M65" s="1" t="s">
        <v>45</v>
      </c>
      <c r="N65" s="1" t="s">
        <v>46</v>
      </c>
      <c r="O65" s="1">
        <v>1</v>
      </c>
      <c r="P65" s="1">
        <v>55</v>
      </c>
      <c r="Q65" s="1">
        <v>6.88</v>
      </c>
      <c r="R65" s="1" t="s">
        <v>189</v>
      </c>
      <c r="S65" s="1">
        <v>0.94699999999999995</v>
      </c>
      <c r="T65" s="1">
        <v>1.1256115000000001E-2</v>
      </c>
      <c r="U65" s="1">
        <v>1.1256115000000001E-2</v>
      </c>
      <c r="W65" s="1">
        <v>0.33344105099999999</v>
      </c>
      <c r="X65" s="1">
        <v>120</v>
      </c>
      <c r="Y65" s="1" t="s">
        <v>45</v>
      </c>
      <c r="Z65" s="1" t="s">
        <v>46</v>
      </c>
      <c r="AA65" s="1">
        <v>1</v>
      </c>
      <c r="AB65" s="1">
        <v>116</v>
      </c>
      <c r="AC65" s="1">
        <v>6.23</v>
      </c>
      <c r="AD65" s="1" t="s">
        <v>46</v>
      </c>
      <c r="AE65" s="1">
        <v>1.4E-2</v>
      </c>
      <c r="AF65" s="1">
        <v>1.3965691000000001E-2</v>
      </c>
      <c r="AG65" s="1">
        <v>1.3965691000000001E-2</v>
      </c>
      <c r="AH65" s="1">
        <v>0.22576422199999999</v>
      </c>
      <c r="AI65" s="1">
        <v>1.1256115000000001E-2</v>
      </c>
      <c r="AJ65" s="1">
        <f t="shared" si="1"/>
        <v>6.9828455000000003E-3</v>
      </c>
    </row>
    <row r="66" spans="1:36" x14ac:dyDescent="0.3">
      <c r="A66" s="1">
        <v>112</v>
      </c>
      <c r="B66" s="1" t="s">
        <v>41</v>
      </c>
      <c r="C66" s="1" t="s">
        <v>195</v>
      </c>
      <c r="D66" s="1" t="s">
        <v>74</v>
      </c>
      <c r="G66" s="1" t="s">
        <v>196</v>
      </c>
      <c r="H66" s="1">
        <v>0.01</v>
      </c>
      <c r="I66" s="1" t="s">
        <v>13</v>
      </c>
      <c r="J66" s="1" t="s">
        <v>61</v>
      </c>
      <c r="K66" s="1" t="s">
        <v>7</v>
      </c>
      <c r="L66" s="1">
        <v>141</v>
      </c>
      <c r="M66" s="1" t="s">
        <v>45</v>
      </c>
      <c r="N66" s="1" t="s">
        <v>46</v>
      </c>
      <c r="O66" s="1">
        <v>1</v>
      </c>
      <c r="P66" s="1">
        <v>9</v>
      </c>
      <c r="Q66" s="1">
        <v>8.6999999999999993</v>
      </c>
      <c r="R66" s="1" t="s">
        <v>50</v>
      </c>
      <c r="S66" s="1">
        <v>0.05</v>
      </c>
      <c r="T66" s="1">
        <v>1.6232104000000001E-2</v>
      </c>
      <c r="U66" s="1">
        <v>1.6232104000000001E-2</v>
      </c>
      <c r="W66" s="1">
        <v>0.70108874200000004</v>
      </c>
      <c r="X66" s="1">
        <v>51</v>
      </c>
      <c r="Y66" s="1" t="s">
        <v>45</v>
      </c>
      <c r="Z66" s="1" t="s">
        <v>46</v>
      </c>
      <c r="AA66" s="1">
        <v>1</v>
      </c>
      <c r="AB66" s="1">
        <v>9</v>
      </c>
      <c r="AC66" s="1">
        <v>11.6</v>
      </c>
      <c r="AD66" s="1" t="s">
        <v>46</v>
      </c>
      <c r="AE66" s="1">
        <v>0.01</v>
      </c>
      <c r="AF66" s="1">
        <v>7.8003719999999999E-3</v>
      </c>
      <c r="AG66" s="1">
        <v>7.8003719999999999E-3</v>
      </c>
      <c r="AH66" s="1">
        <v>0.75040442200000002</v>
      </c>
      <c r="AI66" s="1">
        <v>1.6232104000000001E-2</v>
      </c>
      <c r="AJ66" s="1">
        <f t="shared" ref="AJ66:AJ100" si="2">IF(I66="same",AF66/2,1-AF66/2)</f>
        <v>3.9001859999999999E-3</v>
      </c>
    </row>
    <row r="67" spans="1:36" x14ac:dyDescent="0.3">
      <c r="A67" s="1">
        <v>113</v>
      </c>
      <c r="B67" s="1" t="s">
        <v>116</v>
      </c>
      <c r="C67" s="1" t="s">
        <v>197</v>
      </c>
      <c r="D67" s="1" t="s">
        <v>5</v>
      </c>
      <c r="G67" s="1" t="s">
        <v>198</v>
      </c>
      <c r="H67" s="2">
        <v>9.9999999999999998E-13</v>
      </c>
      <c r="I67" s="1" t="s">
        <v>13</v>
      </c>
      <c r="J67" s="1" t="s">
        <v>61</v>
      </c>
      <c r="K67" s="1">
        <v>0.99</v>
      </c>
      <c r="L67" s="1">
        <v>126</v>
      </c>
      <c r="M67" s="1" t="s">
        <v>62</v>
      </c>
      <c r="N67" s="1" t="s">
        <v>46</v>
      </c>
      <c r="O67" s="1">
        <v>1</v>
      </c>
      <c r="P67" s="1">
        <v>124</v>
      </c>
      <c r="Q67" s="1">
        <v>10.36</v>
      </c>
      <c r="R67" s="1" t="s">
        <v>199</v>
      </c>
      <c r="S67" s="2">
        <v>0.99</v>
      </c>
      <c r="T67" s="2">
        <v>1.6900000000000001E-18</v>
      </c>
      <c r="U67" s="2">
        <v>1.6900000000000001E-18</v>
      </c>
      <c r="W67" s="1">
        <v>0.68115218200000005</v>
      </c>
      <c r="X67" s="1">
        <v>177</v>
      </c>
      <c r="Y67" s="1" t="s">
        <v>62</v>
      </c>
      <c r="Z67" s="1" t="s">
        <v>46</v>
      </c>
      <c r="AA67" s="1">
        <v>1</v>
      </c>
      <c r="AB67" s="1">
        <v>175</v>
      </c>
      <c r="AC67" s="1">
        <v>15.64</v>
      </c>
      <c r="AD67" s="1" t="s">
        <v>46</v>
      </c>
      <c r="AE67" s="2">
        <v>0</v>
      </c>
      <c r="AF67" s="2">
        <v>4.5900000000000001E-35</v>
      </c>
      <c r="AG67" s="2">
        <v>4.5900000000000001E-35</v>
      </c>
      <c r="AH67" s="1">
        <v>0.76350878899999997</v>
      </c>
      <c r="AI67" s="2">
        <v>1.6900000000000001E-18</v>
      </c>
      <c r="AJ67" s="1">
        <f t="shared" si="2"/>
        <v>2.295E-35</v>
      </c>
    </row>
    <row r="68" spans="1:36" x14ac:dyDescent="0.3">
      <c r="A68" s="1">
        <v>114</v>
      </c>
      <c r="B68" s="1" t="s">
        <v>116</v>
      </c>
      <c r="C68" s="1" t="s">
        <v>200</v>
      </c>
      <c r="D68" s="1" t="s">
        <v>201</v>
      </c>
      <c r="F68" s="1">
        <v>2</v>
      </c>
      <c r="G68" s="1" t="s">
        <v>202</v>
      </c>
      <c r="H68" s="1">
        <v>1E-4</v>
      </c>
      <c r="I68" s="1" t="s">
        <v>13</v>
      </c>
      <c r="J68" s="1" t="s">
        <v>61</v>
      </c>
      <c r="K68" s="1">
        <v>0.95</v>
      </c>
      <c r="L68" s="1">
        <v>32</v>
      </c>
      <c r="M68" s="1" t="s">
        <v>45</v>
      </c>
      <c r="N68" s="1" t="s">
        <v>46</v>
      </c>
      <c r="O68" s="1">
        <v>1</v>
      </c>
      <c r="P68" s="1">
        <v>30</v>
      </c>
      <c r="Q68" s="1">
        <v>14.49</v>
      </c>
      <c r="R68" s="1" t="s">
        <v>189</v>
      </c>
      <c r="S68" s="1">
        <v>0.99</v>
      </c>
      <c r="T68" s="1">
        <v>6.4788499999999995E-4</v>
      </c>
      <c r="U68" s="1">
        <v>6.4788499999999995E-4</v>
      </c>
      <c r="W68" s="1">
        <v>0.57069358400000003</v>
      </c>
      <c r="X68" s="1">
        <v>32</v>
      </c>
      <c r="Y68" s="1" t="s">
        <v>45</v>
      </c>
      <c r="Z68" s="1" t="s">
        <v>46</v>
      </c>
      <c r="AA68" s="1">
        <v>1</v>
      </c>
      <c r="AB68" s="1">
        <v>30</v>
      </c>
      <c r="AC68" s="1">
        <v>22.27</v>
      </c>
      <c r="AD68" s="1" t="s">
        <v>46</v>
      </c>
      <c r="AE68" s="1">
        <v>1E-4</v>
      </c>
      <c r="AF68" s="2">
        <v>5.1400000000000003E-5</v>
      </c>
      <c r="AG68" s="2">
        <v>5.1400000000000003E-5</v>
      </c>
      <c r="AH68" s="1">
        <v>0.65273042800000003</v>
      </c>
      <c r="AI68" s="1">
        <v>6.4788499999999995E-4</v>
      </c>
      <c r="AJ68" s="1">
        <f t="shared" si="2"/>
        <v>2.5700000000000001E-5</v>
      </c>
    </row>
    <row r="69" spans="1:36" x14ac:dyDescent="0.3">
      <c r="A69" s="10">
        <v>115</v>
      </c>
      <c r="B69" s="10" t="s">
        <v>41</v>
      </c>
      <c r="C69" s="10" t="s">
        <v>203</v>
      </c>
      <c r="D69" s="10" t="s">
        <v>204</v>
      </c>
      <c r="E69" s="10"/>
      <c r="F69" s="10">
        <v>2</v>
      </c>
      <c r="G69" s="10" t="s">
        <v>205</v>
      </c>
      <c r="H69" s="10">
        <v>0.19700000000000001</v>
      </c>
      <c r="I69" s="10" t="s">
        <v>14</v>
      </c>
      <c r="J69" s="10" t="s">
        <v>44</v>
      </c>
      <c r="K69" s="10">
        <v>0.9</v>
      </c>
      <c r="L69" s="10">
        <v>32</v>
      </c>
      <c r="M69" s="10" t="s">
        <v>62</v>
      </c>
      <c r="N69" s="10" t="s">
        <v>46</v>
      </c>
      <c r="O69" s="10">
        <v>1</v>
      </c>
      <c r="P69" s="10">
        <v>31</v>
      </c>
      <c r="Q69" s="10">
        <v>3.23</v>
      </c>
      <c r="R69" s="10" t="s">
        <v>189</v>
      </c>
      <c r="S69" s="10">
        <v>0.97</v>
      </c>
      <c r="T69" s="10">
        <v>2.9270799999999999E-3</v>
      </c>
      <c r="U69" s="10">
        <v>2.9270799999999999E-3</v>
      </c>
      <c r="V69" s="10"/>
      <c r="W69" s="10">
        <v>0.50179907499999998</v>
      </c>
      <c r="X69" s="10">
        <v>8</v>
      </c>
      <c r="Y69" s="10" t="s">
        <v>62</v>
      </c>
      <c r="Z69" s="10" t="s">
        <v>46</v>
      </c>
      <c r="AA69" s="10">
        <v>1</v>
      </c>
      <c r="AB69" s="10">
        <v>8</v>
      </c>
      <c r="AC69" s="10">
        <v>-1.4259999999999999</v>
      </c>
      <c r="AD69" s="10" t="s">
        <v>46</v>
      </c>
      <c r="AE69" s="10">
        <v>0.19700000000000001</v>
      </c>
      <c r="AF69" s="10">
        <v>0.19170092399999999</v>
      </c>
      <c r="AG69" s="10">
        <v>0.19170092399999999</v>
      </c>
      <c r="AH69" s="10">
        <v>-0.450187899</v>
      </c>
      <c r="AI69" s="10">
        <v>2.9270799999999999E-3</v>
      </c>
      <c r="AJ69" s="10">
        <f t="shared" si="2"/>
        <v>0.90414953799999997</v>
      </c>
    </row>
    <row r="70" spans="1:36" x14ac:dyDescent="0.3">
      <c r="A70" s="1">
        <v>116</v>
      </c>
      <c r="B70" s="1" t="s">
        <v>41</v>
      </c>
      <c r="C70" s="1" t="s">
        <v>206</v>
      </c>
      <c r="D70" s="1" t="s">
        <v>68</v>
      </c>
      <c r="E70" s="1">
        <v>2</v>
      </c>
      <c r="F70" s="1">
        <v>2</v>
      </c>
      <c r="G70" s="1" t="s">
        <v>207</v>
      </c>
      <c r="H70" s="1">
        <v>1E-3</v>
      </c>
      <c r="I70" s="1" t="s">
        <v>13</v>
      </c>
      <c r="J70" s="1" t="s">
        <v>61</v>
      </c>
      <c r="K70" s="1">
        <v>0.99</v>
      </c>
      <c r="L70" s="1">
        <v>173</v>
      </c>
      <c r="M70" s="1" t="s">
        <v>62</v>
      </c>
      <c r="N70" s="1" t="s">
        <v>46</v>
      </c>
      <c r="O70" s="1">
        <v>1</v>
      </c>
      <c r="P70" s="1">
        <v>172</v>
      </c>
      <c r="Q70" s="1">
        <v>3.94</v>
      </c>
      <c r="R70" s="1" t="s">
        <v>50</v>
      </c>
      <c r="S70" s="1">
        <v>0.01</v>
      </c>
      <c r="T70" s="2">
        <v>1.18E-4</v>
      </c>
      <c r="U70" s="2">
        <v>1.18E-4</v>
      </c>
      <c r="W70" s="1">
        <v>0.28771880999999999</v>
      </c>
      <c r="X70" s="1">
        <v>140</v>
      </c>
      <c r="Y70" s="1" t="s">
        <v>62</v>
      </c>
      <c r="Z70" s="1" t="s">
        <v>46</v>
      </c>
      <c r="AA70" s="1">
        <v>1</v>
      </c>
      <c r="AB70" s="1">
        <v>139</v>
      </c>
      <c r="AC70" s="1">
        <v>4.0199999999999996</v>
      </c>
      <c r="AD70" s="1" t="s">
        <v>46</v>
      </c>
      <c r="AE70" s="1">
        <v>1E-3</v>
      </c>
      <c r="AF70" s="2">
        <v>9.5000000000000005E-5</v>
      </c>
      <c r="AG70" s="2">
        <v>9.5000000000000005E-5</v>
      </c>
      <c r="AH70" s="1">
        <v>0.32272722799999998</v>
      </c>
      <c r="AI70" s="2">
        <v>1.18E-4</v>
      </c>
      <c r="AJ70" s="1">
        <f t="shared" si="2"/>
        <v>4.7500000000000003E-5</v>
      </c>
    </row>
    <row r="71" spans="1:36" x14ac:dyDescent="0.3">
      <c r="A71" s="1">
        <v>117</v>
      </c>
      <c r="B71" s="1" t="s">
        <v>41</v>
      </c>
      <c r="C71" s="1" t="s">
        <v>208</v>
      </c>
      <c r="D71" s="1" t="s">
        <v>209</v>
      </c>
      <c r="G71" s="1" t="s">
        <v>210</v>
      </c>
      <c r="H71" s="2">
        <v>9.9999999999999998E-13</v>
      </c>
      <c r="I71" s="1" t="s">
        <v>13</v>
      </c>
      <c r="J71" s="1" t="s">
        <v>61</v>
      </c>
      <c r="K71" s="1">
        <v>0.99</v>
      </c>
      <c r="L71" s="1">
        <v>12</v>
      </c>
      <c r="M71" s="1" t="s">
        <v>45</v>
      </c>
      <c r="N71" s="1" t="s">
        <v>46</v>
      </c>
      <c r="O71" s="1">
        <v>18</v>
      </c>
      <c r="P71" s="1">
        <v>660</v>
      </c>
      <c r="Q71" s="1">
        <v>16.309999999999999</v>
      </c>
      <c r="R71" s="1" t="s">
        <v>50</v>
      </c>
      <c r="S71" s="2">
        <v>1.0000000000000001E-5</v>
      </c>
      <c r="T71" s="2">
        <v>6.0600000000000004E-42</v>
      </c>
      <c r="U71" s="2">
        <v>6.0600000000000004E-42</v>
      </c>
      <c r="W71" s="1">
        <v>0.130782132</v>
      </c>
      <c r="X71" s="1">
        <v>12</v>
      </c>
      <c r="Y71" s="1" t="s">
        <v>45</v>
      </c>
      <c r="Z71" s="1" t="s">
        <v>46</v>
      </c>
      <c r="AA71" s="1">
        <v>18</v>
      </c>
      <c r="AB71" s="1">
        <v>660</v>
      </c>
      <c r="AC71" s="1">
        <v>12.98</v>
      </c>
      <c r="AD71" s="1" t="s">
        <v>46</v>
      </c>
      <c r="AE71" s="2">
        <v>0</v>
      </c>
      <c r="AF71" s="2">
        <v>3.3500000000000002E-33</v>
      </c>
      <c r="AG71" s="2">
        <v>3.3500000000000002E-33</v>
      </c>
      <c r="AH71" s="1">
        <v>0.12051914599999999</v>
      </c>
      <c r="AI71" s="2">
        <v>6.0600000000000004E-42</v>
      </c>
      <c r="AJ71" s="1">
        <f t="shared" si="2"/>
        <v>1.6750000000000001E-33</v>
      </c>
    </row>
    <row r="72" spans="1:36" x14ac:dyDescent="0.3">
      <c r="A72" s="10">
        <v>118</v>
      </c>
      <c r="B72" s="10" t="s">
        <v>116</v>
      </c>
      <c r="C72" s="10" t="s">
        <v>211</v>
      </c>
      <c r="D72" s="10" t="s">
        <v>187</v>
      </c>
      <c r="E72" s="10"/>
      <c r="F72" s="10"/>
      <c r="G72" s="10" t="s">
        <v>212</v>
      </c>
      <c r="H72" s="10">
        <v>0.53900000000000003</v>
      </c>
      <c r="I72" s="10" t="s">
        <v>14</v>
      </c>
      <c r="J72" s="10" t="s">
        <v>44</v>
      </c>
      <c r="K72" s="10">
        <v>0.79</v>
      </c>
      <c r="L72" s="10">
        <v>115</v>
      </c>
      <c r="M72" s="10" t="s">
        <v>45</v>
      </c>
      <c r="N72" s="10" t="s">
        <v>46</v>
      </c>
      <c r="O72" s="10">
        <v>1</v>
      </c>
      <c r="P72" s="10">
        <v>111</v>
      </c>
      <c r="Q72" s="10">
        <v>5.3109999999999999</v>
      </c>
      <c r="R72" s="10" t="s">
        <v>189</v>
      </c>
      <c r="S72" s="10">
        <v>0.92</v>
      </c>
      <c r="T72" s="10">
        <v>2.3051359E-2</v>
      </c>
      <c r="U72" s="10">
        <v>2.3051359E-2</v>
      </c>
      <c r="V72" s="10"/>
      <c r="W72" s="10">
        <v>0.21368682999999999</v>
      </c>
      <c r="X72" s="10">
        <v>166</v>
      </c>
      <c r="Y72" s="10" t="s">
        <v>45</v>
      </c>
      <c r="Z72" s="10" t="s">
        <v>46</v>
      </c>
      <c r="AA72" s="10">
        <v>1</v>
      </c>
      <c r="AB72" s="10">
        <v>158</v>
      </c>
      <c r="AC72" s="10">
        <v>0.379</v>
      </c>
      <c r="AD72" s="10" t="s">
        <v>46</v>
      </c>
      <c r="AE72" s="10">
        <v>0.53900000000000003</v>
      </c>
      <c r="AF72" s="10">
        <v>0.539024693</v>
      </c>
      <c r="AG72" s="10">
        <v>0.539024693</v>
      </c>
      <c r="AH72" s="10">
        <v>-4.8918238000000003E-2</v>
      </c>
      <c r="AI72" s="10">
        <v>2.3051359E-2</v>
      </c>
      <c r="AJ72" s="10">
        <f t="shared" si="2"/>
        <v>0.7304876535</v>
      </c>
    </row>
    <row r="73" spans="1:36" x14ac:dyDescent="0.3">
      <c r="A73" s="3">
        <v>120</v>
      </c>
      <c r="B73" s="3" t="s">
        <v>116</v>
      </c>
      <c r="C73" s="3" t="s">
        <v>213</v>
      </c>
      <c r="D73" s="3" t="s">
        <v>74</v>
      </c>
      <c r="E73" s="3">
        <v>1</v>
      </c>
      <c r="F73" s="3">
        <v>1</v>
      </c>
      <c r="G73" s="3" t="s">
        <v>214</v>
      </c>
      <c r="H73" s="3">
        <v>0.11</v>
      </c>
      <c r="I73" s="3" t="s">
        <v>13</v>
      </c>
      <c r="J73" s="3" t="s">
        <v>44</v>
      </c>
      <c r="K73" s="3">
        <v>0.82</v>
      </c>
      <c r="L73" s="3">
        <v>31</v>
      </c>
      <c r="M73" s="3" t="s">
        <v>112</v>
      </c>
      <c r="N73" s="3" t="s">
        <v>46</v>
      </c>
      <c r="O73" s="3"/>
      <c r="P73" s="3"/>
      <c r="Q73" s="3">
        <v>-0.38</v>
      </c>
      <c r="R73" s="3" t="s">
        <v>50</v>
      </c>
      <c r="S73" s="3">
        <v>0.05</v>
      </c>
      <c r="T73" s="3">
        <v>3.4266919E-2</v>
      </c>
      <c r="U73" s="3">
        <v>1.713346E-2</v>
      </c>
      <c r="V73" s="3"/>
      <c r="W73" s="3">
        <v>0.38</v>
      </c>
      <c r="X73" s="3">
        <v>43</v>
      </c>
      <c r="Y73" s="3" t="s">
        <v>112</v>
      </c>
      <c r="Z73" s="3" t="s">
        <v>46</v>
      </c>
      <c r="AA73" s="3"/>
      <c r="AB73" s="3"/>
      <c r="AC73" s="3">
        <v>-0.25</v>
      </c>
      <c r="AD73" s="3" t="s">
        <v>46</v>
      </c>
      <c r="AE73" s="3">
        <v>0.11</v>
      </c>
      <c r="AF73" s="3">
        <v>0.106230061</v>
      </c>
      <c r="AG73" s="3">
        <v>5.3115031E-2</v>
      </c>
      <c r="AH73" s="3">
        <v>0.25</v>
      </c>
      <c r="AI73" s="3">
        <v>3.4266919E-2</v>
      </c>
      <c r="AJ73" s="3">
        <f t="shared" si="2"/>
        <v>5.31150305E-2</v>
      </c>
    </row>
    <row r="74" spans="1:36" x14ac:dyDescent="0.3">
      <c r="A74" s="1">
        <v>121</v>
      </c>
      <c r="B74" s="1" t="s">
        <v>116</v>
      </c>
      <c r="C74" s="1" t="s">
        <v>215</v>
      </c>
      <c r="D74" s="1" t="s">
        <v>201</v>
      </c>
      <c r="E74" s="1">
        <v>2</v>
      </c>
      <c r="G74" s="1" t="s">
        <v>216</v>
      </c>
      <c r="H74" s="1" t="s">
        <v>5</v>
      </c>
      <c r="I74" s="1" t="s">
        <v>13</v>
      </c>
      <c r="J74" s="1" t="s">
        <v>61</v>
      </c>
      <c r="K74" s="1">
        <v>0.99</v>
      </c>
      <c r="L74" s="1">
        <v>12</v>
      </c>
      <c r="M74" s="1" t="s">
        <v>62</v>
      </c>
      <c r="N74" s="1" t="s">
        <v>46</v>
      </c>
      <c r="O74" s="1">
        <v>1</v>
      </c>
      <c r="P74" s="1">
        <v>11</v>
      </c>
      <c r="Q74" s="1">
        <v>5.39</v>
      </c>
      <c r="R74" s="1" t="s">
        <v>189</v>
      </c>
      <c r="S74" s="1">
        <v>0.99</v>
      </c>
      <c r="T74" s="1">
        <v>2.1997999999999999E-4</v>
      </c>
      <c r="U74" s="1">
        <v>2.1997999999999999E-4</v>
      </c>
      <c r="W74" s="1">
        <v>0.85167935400000006</v>
      </c>
      <c r="X74" s="1">
        <v>24</v>
      </c>
      <c r="Y74" s="1" t="s">
        <v>115</v>
      </c>
      <c r="Z74" s="1" t="s">
        <v>46</v>
      </c>
      <c r="AC74" s="1">
        <v>5.43</v>
      </c>
      <c r="AD74" s="1" t="s">
        <v>189</v>
      </c>
      <c r="AE74" s="2">
        <v>0.99</v>
      </c>
      <c r="AF74" s="2">
        <v>2.8200000000000001E-8</v>
      </c>
      <c r="AG74" s="2">
        <v>2.8200000000000001E-8</v>
      </c>
      <c r="AH74" s="1">
        <v>0.82899768500000004</v>
      </c>
      <c r="AI74" s="1">
        <v>2.1997999999999999E-4</v>
      </c>
      <c r="AJ74" s="1">
        <f t="shared" si="2"/>
        <v>1.4100000000000001E-8</v>
      </c>
    </row>
    <row r="75" spans="1:36" x14ac:dyDescent="0.3">
      <c r="A75" s="1">
        <v>122</v>
      </c>
      <c r="B75" s="1" t="s">
        <v>41</v>
      </c>
      <c r="C75" s="1" t="s">
        <v>217</v>
      </c>
      <c r="D75" s="1">
        <v>2.8000000000000001E-2</v>
      </c>
      <c r="E75" s="1">
        <v>2</v>
      </c>
      <c r="F75" s="1">
        <v>2</v>
      </c>
      <c r="G75" s="1" t="s">
        <v>218</v>
      </c>
      <c r="H75" s="1">
        <v>1E-4</v>
      </c>
      <c r="I75" s="1" t="s">
        <v>13</v>
      </c>
      <c r="J75" s="1" t="s">
        <v>61</v>
      </c>
      <c r="K75" s="1">
        <v>0.97</v>
      </c>
      <c r="L75" s="1">
        <v>8</v>
      </c>
      <c r="M75" s="1" t="s">
        <v>62</v>
      </c>
      <c r="N75" s="1" t="s">
        <v>46</v>
      </c>
      <c r="O75" s="1">
        <v>1</v>
      </c>
      <c r="P75" s="1">
        <v>7</v>
      </c>
      <c r="Q75" s="1">
        <v>2.76</v>
      </c>
      <c r="R75" s="1" t="s">
        <v>46</v>
      </c>
      <c r="S75" s="1">
        <v>2.8000000000000001E-2</v>
      </c>
      <c r="T75" s="1">
        <v>2.809598E-2</v>
      </c>
      <c r="U75" s="1">
        <v>2.809598E-2</v>
      </c>
      <c r="W75" s="1">
        <v>0.72189003200000001</v>
      </c>
      <c r="X75" s="1">
        <v>17</v>
      </c>
      <c r="Y75" s="1" t="s">
        <v>62</v>
      </c>
      <c r="Z75" s="1" t="s">
        <v>46</v>
      </c>
      <c r="AA75" s="1">
        <v>1</v>
      </c>
      <c r="AB75" s="1">
        <v>16</v>
      </c>
      <c r="AC75" s="1">
        <v>-9.59</v>
      </c>
      <c r="AD75" s="1" t="s">
        <v>46</v>
      </c>
      <c r="AE75" s="1">
        <v>1E-4</v>
      </c>
      <c r="AF75" s="2">
        <v>4.9000000000000002E-8</v>
      </c>
      <c r="AG75" s="2">
        <v>4.9000000000000002E-8</v>
      </c>
      <c r="AH75" s="1">
        <v>0.92293449400000005</v>
      </c>
      <c r="AI75" s="1">
        <v>2.809598E-2</v>
      </c>
      <c r="AJ75" s="1">
        <f t="shared" si="2"/>
        <v>2.4500000000000001E-8</v>
      </c>
    </row>
    <row r="76" spans="1:36" x14ac:dyDescent="0.3">
      <c r="A76" s="10">
        <v>124</v>
      </c>
      <c r="B76" s="10" t="s">
        <v>116</v>
      </c>
      <c r="C76" s="10" t="s">
        <v>219</v>
      </c>
      <c r="D76" s="10" t="s">
        <v>220</v>
      </c>
      <c r="E76" s="10"/>
      <c r="F76" s="10"/>
      <c r="G76" s="10" t="s">
        <v>221</v>
      </c>
      <c r="H76" s="10">
        <v>0.79</v>
      </c>
      <c r="I76" s="10" t="s">
        <v>14</v>
      </c>
      <c r="J76" s="10" t="s">
        <v>44</v>
      </c>
      <c r="K76" s="10">
        <v>0.93</v>
      </c>
      <c r="L76" s="10">
        <v>36</v>
      </c>
      <c r="M76" s="10" t="s">
        <v>45</v>
      </c>
      <c r="N76" s="10" t="s">
        <v>46</v>
      </c>
      <c r="O76" s="10">
        <v>1</v>
      </c>
      <c r="P76" s="10">
        <v>34</v>
      </c>
      <c r="Q76" s="10">
        <v>5.89</v>
      </c>
      <c r="R76" s="10" t="s">
        <v>189</v>
      </c>
      <c r="S76" s="10">
        <v>0.93</v>
      </c>
      <c r="T76" s="10">
        <v>2.0677270000000001E-2</v>
      </c>
      <c r="U76" s="10">
        <v>2.0677270000000001E-2</v>
      </c>
      <c r="V76" s="10"/>
      <c r="W76" s="10">
        <v>0.38426039899999997</v>
      </c>
      <c r="X76" s="10">
        <v>70</v>
      </c>
      <c r="Y76" s="10" t="s">
        <v>45</v>
      </c>
      <c r="Z76" s="10" t="s">
        <v>46</v>
      </c>
      <c r="AA76" s="10">
        <v>1</v>
      </c>
      <c r="AB76" s="10">
        <v>68</v>
      </c>
      <c r="AC76" s="10">
        <v>0.08</v>
      </c>
      <c r="AD76" s="10" t="s">
        <v>46</v>
      </c>
      <c r="AE76" s="10">
        <v>0.79</v>
      </c>
      <c r="AF76" s="10">
        <v>0.77815663199999996</v>
      </c>
      <c r="AG76" s="10">
        <v>0.77815663199999996</v>
      </c>
      <c r="AH76" s="10">
        <v>-3.4279559000000001E-2</v>
      </c>
      <c r="AI76" s="10">
        <v>2.0677270000000001E-2</v>
      </c>
      <c r="AJ76" s="10">
        <f t="shared" si="2"/>
        <v>0.61092168400000002</v>
      </c>
    </row>
    <row r="77" spans="1:36" x14ac:dyDescent="0.3">
      <c r="A77" s="1">
        <v>127</v>
      </c>
      <c r="B77" s="1" t="s">
        <v>41</v>
      </c>
      <c r="C77" s="1" t="s">
        <v>222</v>
      </c>
      <c r="D77" s="1">
        <v>3.0000000000000001E-5</v>
      </c>
      <c r="E77" s="1">
        <v>2</v>
      </c>
      <c r="G77" s="1" t="s">
        <v>223</v>
      </c>
      <c r="H77" s="1">
        <v>4.7099999999999998E-3</v>
      </c>
      <c r="I77" s="1" t="s">
        <v>13</v>
      </c>
      <c r="J77" s="1" t="s">
        <v>61</v>
      </c>
      <c r="K77" s="1">
        <v>0.99</v>
      </c>
      <c r="L77" s="1">
        <v>32</v>
      </c>
      <c r="M77" s="1" t="s">
        <v>62</v>
      </c>
      <c r="N77" s="1" t="s">
        <v>46</v>
      </c>
      <c r="O77" s="1">
        <v>1</v>
      </c>
      <c r="P77" s="1">
        <v>28</v>
      </c>
      <c r="Q77" s="1">
        <v>4.9800000000000004</v>
      </c>
      <c r="R77" s="1" t="s">
        <v>46</v>
      </c>
      <c r="S77" s="1">
        <v>0</v>
      </c>
      <c r="T77" s="1">
        <v>2.9300000000000001E-5</v>
      </c>
      <c r="U77" s="1">
        <v>2.9300000000000001E-5</v>
      </c>
      <c r="W77" s="1">
        <v>0.68534734799999997</v>
      </c>
      <c r="X77" s="1">
        <v>26</v>
      </c>
      <c r="Y77" s="1" t="s">
        <v>62</v>
      </c>
      <c r="Z77" s="1" t="s">
        <v>46</v>
      </c>
      <c r="AA77" s="1">
        <v>1</v>
      </c>
      <c r="AB77" s="1">
        <v>25</v>
      </c>
      <c r="AC77" s="1">
        <v>-3.1030000000000002</v>
      </c>
      <c r="AD77" s="1" t="s">
        <v>46</v>
      </c>
      <c r="AE77" s="1">
        <v>4.7099999999999998E-3</v>
      </c>
      <c r="AF77" s="1">
        <v>4.7081120000000004E-3</v>
      </c>
      <c r="AG77" s="1">
        <v>4.7081120000000004E-3</v>
      </c>
      <c r="AH77" s="1">
        <v>0.52730786900000004</v>
      </c>
      <c r="AI77" s="1">
        <v>2.9300000000000001E-5</v>
      </c>
      <c r="AJ77" s="1">
        <f t="shared" si="2"/>
        <v>2.3540560000000002E-3</v>
      </c>
    </row>
    <row r="78" spans="1:36" x14ac:dyDescent="0.3">
      <c r="A78" s="1">
        <v>129</v>
      </c>
      <c r="B78" s="1" t="s">
        <v>116</v>
      </c>
      <c r="C78" s="1" t="s">
        <v>224</v>
      </c>
      <c r="D78" s="1" t="s">
        <v>187</v>
      </c>
      <c r="G78" s="1" t="s">
        <v>225</v>
      </c>
      <c r="H78" s="1">
        <v>0.89</v>
      </c>
      <c r="I78" s="1" t="s">
        <v>13</v>
      </c>
      <c r="J78" s="1" t="s">
        <v>44</v>
      </c>
      <c r="K78" s="1">
        <v>0.91</v>
      </c>
      <c r="L78" s="1">
        <v>28</v>
      </c>
      <c r="M78" s="1" t="s">
        <v>45</v>
      </c>
      <c r="N78" s="1" t="s">
        <v>46</v>
      </c>
      <c r="O78" s="1">
        <v>1</v>
      </c>
      <c r="P78" s="1">
        <v>26</v>
      </c>
      <c r="Q78" s="1">
        <v>4.17</v>
      </c>
      <c r="R78" s="1" t="s">
        <v>189</v>
      </c>
      <c r="S78" s="1">
        <v>0.92</v>
      </c>
      <c r="T78" s="1">
        <v>5.1411614000000001E-2</v>
      </c>
      <c r="U78" s="1">
        <v>5.1411614000000001E-2</v>
      </c>
      <c r="W78" s="1">
        <v>0.37177516300000002</v>
      </c>
      <c r="X78" s="1">
        <v>66</v>
      </c>
      <c r="Y78" s="1" t="s">
        <v>45</v>
      </c>
      <c r="Z78" s="1" t="s">
        <v>46</v>
      </c>
      <c r="AA78" s="1">
        <v>1</v>
      </c>
      <c r="AB78" s="1">
        <v>64</v>
      </c>
      <c r="AC78" s="1">
        <v>0.02</v>
      </c>
      <c r="AD78" s="1" t="s">
        <v>46</v>
      </c>
      <c r="AE78" s="1">
        <v>0.89</v>
      </c>
      <c r="AF78" s="1">
        <v>0.88798130099999995</v>
      </c>
      <c r="AG78" s="1">
        <v>0.88798130099999995</v>
      </c>
      <c r="AH78" s="1">
        <v>1.7674908E-2</v>
      </c>
      <c r="AI78" s="1">
        <v>5.1411614000000001E-2</v>
      </c>
      <c r="AJ78" s="1">
        <f t="shared" si="2"/>
        <v>0.44399065049999997</v>
      </c>
    </row>
    <row r="79" spans="1:36" x14ac:dyDescent="0.3">
      <c r="A79" s="1">
        <v>132</v>
      </c>
      <c r="B79" s="1" t="s">
        <v>116</v>
      </c>
      <c r="C79" s="1" t="s">
        <v>226</v>
      </c>
      <c r="D79" s="1" t="s">
        <v>227</v>
      </c>
      <c r="G79" s="1" t="s">
        <v>228</v>
      </c>
      <c r="H79" s="1">
        <v>0.254</v>
      </c>
      <c r="I79" s="1" t="s">
        <v>13</v>
      </c>
      <c r="J79" s="1" t="s">
        <v>44</v>
      </c>
      <c r="K79" s="1">
        <v>0.82</v>
      </c>
      <c r="L79" s="1">
        <v>25</v>
      </c>
      <c r="M79" s="1" t="s">
        <v>45</v>
      </c>
      <c r="N79" s="1" t="s">
        <v>46</v>
      </c>
      <c r="O79" s="1">
        <v>3</v>
      </c>
      <c r="P79" s="1">
        <v>69</v>
      </c>
      <c r="Q79" s="1">
        <v>5.15</v>
      </c>
      <c r="R79" s="1" t="s">
        <v>50</v>
      </c>
      <c r="S79" s="1">
        <v>5.0000000000000001E-3</v>
      </c>
      <c r="T79" s="1">
        <v>2.8506909999999998E-3</v>
      </c>
      <c r="U79" s="1">
        <v>2.8506909999999998E-3</v>
      </c>
      <c r="W79" s="1">
        <v>0.24694701899999999</v>
      </c>
      <c r="X79" s="1">
        <v>30</v>
      </c>
      <c r="Y79" s="1" t="s">
        <v>45</v>
      </c>
      <c r="Z79" s="1" t="s">
        <v>46</v>
      </c>
      <c r="AA79" s="1">
        <v>1.48</v>
      </c>
      <c r="AB79" s="1">
        <v>41.457999999999998</v>
      </c>
      <c r="AC79" s="1">
        <v>1.401</v>
      </c>
      <c r="AD79" s="1" t="s">
        <v>46</v>
      </c>
      <c r="AE79" s="1">
        <v>0.254</v>
      </c>
      <c r="AF79" s="1">
        <v>0.25417014500000001</v>
      </c>
      <c r="AG79" s="1">
        <v>0.25417014500000001</v>
      </c>
      <c r="AH79" s="1">
        <v>0.179397898</v>
      </c>
      <c r="AI79" s="1">
        <v>2.8506909999999998E-3</v>
      </c>
      <c r="AJ79" s="1">
        <f t="shared" si="2"/>
        <v>0.12708507250000001</v>
      </c>
    </row>
    <row r="80" spans="1:36" x14ac:dyDescent="0.3">
      <c r="A80" s="1">
        <v>133</v>
      </c>
      <c r="B80" s="1" t="s">
        <v>41</v>
      </c>
      <c r="C80" s="1" t="s">
        <v>229</v>
      </c>
      <c r="D80" s="1" t="s">
        <v>230</v>
      </c>
      <c r="G80" s="1" t="s">
        <v>231</v>
      </c>
      <c r="H80" s="1">
        <v>7.0000000000000001E-3</v>
      </c>
      <c r="I80" s="1" t="s">
        <v>13</v>
      </c>
      <c r="J80" s="1" t="s">
        <v>61</v>
      </c>
      <c r="K80" s="1">
        <v>0.99</v>
      </c>
      <c r="L80" s="1">
        <v>24</v>
      </c>
      <c r="M80" s="1" t="s">
        <v>45</v>
      </c>
      <c r="N80" s="1" t="s">
        <v>46</v>
      </c>
      <c r="O80" s="1">
        <v>1</v>
      </c>
      <c r="P80" s="1">
        <v>23</v>
      </c>
      <c r="Q80" s="1">
        <v>5.7</v>
      </c>
      <c r="R80" s="1" t="s">
        <v>232</v>
      </c>
      <c r="T80" s="1">
        <v>2.5570455999999998E-2</v>
      </c>
      <c r="U80" s="1">
        <v>2.5570455999999998E-2</v>
      </c>
      <c r="W80" s="1">
        <v>0.44565263599999999</v>
      </c>
      <c r="X80" s="1">
        <v>38</v>
      </c>
      <c r="Y80" s="1" t="s">
        <v>45</v>
      </c>
      <c r="Z80" s="1" t="s">
        <v>46</v>
      </c>
      <c r="AA80" s="1">
        <v>1</v>
      </c>
      <c r="AB80" s="1">
        <v>37</v>
      </c>
      <c r="AC80" s="1">
        <v>8.08</v>
      </c>
      <c r="AD80" s="1" t="s">
        <v>46</v>
      </c>
      <c r="AE80" s="1">
        <v>7.0000000000000001E-3</v>
      </c>
      <c r="AF80" s="1">
        <v>7.2425479999999997E-3</v>
      </c>
      <c r="AG80" s="1">
        <v>7.2425479999999997E-3</v>
      </c>
      <c r="AH80" s="1">
        <v>0.42336380600000001</v>
      </c>
      <c r="AI80" s="1">
        <v>2.5570455999999998E-2</v>
      </c>
      <c r="AJ80" s="1">
        <f t="shared" si="2"/>
        <v>3.6212739999999998E-3</v>
      </c>
    </row>
    <row r="81" spans="1:82" x14ac:dyDescent="0.3">
      <c r="A81" s="1">
        <v>134</v>
      </c>
      <c r="B81" s="1" t="s">
        <v>116</v>
      </c>
      <c r="C81" s="1" t="s">
        <v>233</v>
      </c>
      <c r="D81" s="1" t="s">
        <v>187</v>
      </c>
      <c r="F81" s="1">
        <v>2</v>
      </c>
      <c r="G81" s="1" t="s">
        <v>234</v>
      </c>
      <c r="H81" s="1">
        <v>1E-3</v>
      </c>
      <c r="I81" s="1" t="s">
        <v>13</v>
      </c>
      <c r="J81" s="1" t="s">
        <v>61</v>
      </c>
      <c r="K81" s="1">
        <v>0.9</v>
      </c>
      <c r="L81" s="1">
        <v>119</v>
      </c>
      <c r="M81" s="1" t="s">
        <v>62</v>
      </c>
      <c r="N81" s="1" t="s">
        <v>46</v>
      </c>
      <c r="O81" s="1">
        <v>1</v>
      </c>
      <c r="P81" s="1">
        <v>115</v>
      </c>
      <c r="Q81" s="1">
        <v>2.3029999999999999</v>
      </c>
      <c r="R81" s="1" t="s">
        <v>189</v>
      </c>
      <c r="S81" s="1">
        <v>2.3E-2</v>
      </c>
      <c r="T81" s="6">
        <v>2.3E-2</v>
      </c>
      <c r="U81" s="1">
        <v>2.3E-2</v>
      </c>
      <c r="W81" s="1">
        <v>0.20996855</v>
      </c>
      <c r="X81" s="1">
        <v>238</v>
      </c>
      <c r="Y81" s="1" t="s">
        <v>62</v>
      </c>
      <c r="Z81" s="1" t="s">
        <v>46</v>
      </c>
      <c r="AA81" s="1">
        <v>1</v>
      </c>
      <c r="AB81" s="1">
        <v>234</v>
      </c>
      <c r="AC81" s="1">
        <v>8.8360000000000003</v>
      </c>
      <c r="AD81" s="1" t="s">
        <v>46</v>
      </c>
      <c r="AE81" s="1">
        <v>9.9999999999999995E-7</v>
      </c>
      <c r="AF81" s="2">
        <v>2.4100000000000002E-16</v>
      </c>
      <c r="AG81" s="2">
        <v>2.4100000000000002E-16</v>
      </c>
      <c r="AH81" s="1">
        <v>0.50017996300000001</v>
      </c>
      <c r="AI81" s="6">
        <v>2.3E-2</v>
      </c>
      <c r="AJ81" s="1">
        <f t="shared" si="2"/>
        <v>1.2050000000000001E-16</v>
      </c>
    </row>
    <row r="82" spans="1:82" x14ac:dyDescent="0.3">
      <c r="A82" s="1">
        <v>135</v>
      </c>
      <c r="B82" s="1" t="s">
        <v>116</v>
      </c>
      <c r="C82" s="1" t="s">
        <v>235</v>
      </c>
      <c r="D82" s="1" t="s">
        <v>236</v>
      </c>
      <c r="F82" s="1">
        <v>2</v>
      </c>
      <c r="G82" s="1" t="s">
        <v>237</v>
      </c>
      <c r="H82" s="1">
        <v>0</v>
      </c>
      <c r="I82" s="1" t="s">
        <v>13</v>
      </c>
      <c r="J82" s="1" t="s">
        <v>44</v>
      </c>
      <c r="K82" s="1">
        <v>0.99</v>
      </c>
      <c r="L82" s="1">
        <v>684</v>
      </c>
      <c r="M82" s="1" t="s">
        <v>62</v>
      </c>
      <c r="N82" s="1" t="s">
        <v>46</v>
      </c>
      <c r="O82" s="1">
        <v>1</v>
      </c>
      <c r="P82" s="1">
        <v>562</v>
      </c>
      <c r="Q82" s="1">
        <v>-0.11</v>
      </c>
      <c r="R82" s="1" t="s">
        <v>189</v>
      </c>
      <c r="S82" s="1">
        <v>0.18</v>
      </c>
      <c r="T82" s="1">
        <v>0.91244864299999995</v>
      </c>
      <c r="U82" s="1">
        <v>0.91244864299999995</v>
      </c>
      <c r="W82" s="1">
        <v>4.6400199999999999E-3</v>
      </c>
      <c r="X82" s="1">
        <v>3597</v>
      </c>
      <c r="Y82" s="1" t="s">
        <v>62</v>
      </c>
      <c r="Z82" s="1" t="s">
        <v>46</v>
      </c>
      <c r="AA82" s="1">
        <v>1</v>
      </c>
      <c r="AB82" s="1">
        <v>3511.1</v>
      </c>
      <c r="AC82" s="1">
        <v>-6.31</v>
      </c>
      <c r="AD82" s="1" t="s">
        <v>46</v>
      </c>
      <c r="AE82" s="2">
        <v>0</v>
      </c>
      <c r="AF82" s="2">
        <v>3.14E-10</v>
      </c>
      <c r="AG82" s="2">
        <v>3.14E-10</v>
      </c>
      <c r="AH82" s="1">
        <v>0.105891025</v>
      </c>
      <c r="AI82" s="1">
        <v>0.91244864299999995</v>
      </c>
      <c r="AJ82" s="1">
        <f t="shared" si="2"/>
        <v>1.57E-10</v>
      </c>
    </row>
    <row r="83" spans="1:82" x14ac:dyDescent="0.3">
      <c r="A83" s="1">
        <v>136</v>
      </c>
      <c r="B83" s="1" t="s">
        <v>116</v>
      </c>
      <c r="C83" s="1" t="s">
        <v>238</v>
      </c>
      <c r="D83" s="1" t="s">
        <v>68</v>
      </c>
      <c r="G83" s="1" t="s">
        <v>239</v>
      </c>
      <c r="H83" s="1">
        <v>0.44</v>
      </c>
      <c r="I83" s="1" t="s">
        <v>13</v>
      </c>
      <c r="J83" s="1" t="s">
        <v>44</v>
      </c>
      <c r="K83" s="1">
        <v>0.91</v>
      </c>
      <c r="L83" s="1">
        <v>30</v>
      </c>
      <c r="M83" s="1" t="s">
        <v>62</v>
      </c>
      <c r="N83" s="1" t="s">
        <v>46</v>
      </c>
      <c r="O83" s="1">
        <v>1</v>
      </c>
      <c r="P83" s="1">
        <v>28</v>
      </c>
      <c r="Q83" s="1">
        <v>3.04</v>
      </c>
      <c r="R83" s="1" t="s">
        <v>50</v>
      </c>
      <c r="S83" s="1">
        <v>0.01</v>
      </c>
      <c r="T83" s="1">
        <v>5.0869039999999997E-3</v>
      </c>
      <c r="U83" s="1">
        <v>5.0869039999999997E-3</v>
      </c>
      <c r="W83" s="1">
        <v>0.49814917800000003</v>
      </c>
      <c r="X83" s="1">
        <v>58</v>
      </c>
      <c r="Y83" s="1" t="s">
        <v>62</v>
      </c>
      <c r="Z83" s="1" t="s">
        <v>46</v>
      </c>
      <c r="AA83" s="1">
        <v>1</v>
      </c>
      <c r="AB83" s="1">
        <v>56</v>
      </c>
      <c r="AC83" s="1">
        <v>-0.77</v>
      </c>
      <c r="AD83" s="1" t="s">
        <v>46</v>
      </c>
      <c r="AE83" s="1">
        <v>0.44</v>
      </c>
      <c r="AF83" s="1">
        <v>0.44453603600000002</v>
      </c>
      <c r="AG83" s="1">
        <v>0.44453603600000002</v>
      </c>
      <c r="AH83" s="1">
        <v>0.102355162</v>
      </c>
      <c r="AI83" s="1">
        <v>5.0869039999999997E-3</v>
      </c>
      <c r="AJ83" s="1">
        <f t="shared" si="2"/>
        <v>0.22226801800000001</v>
      </c>
    </row>
    <row r="84" spans="1:82" x14ac:dyDescent="0.3">
      <c r="A84" s="1">
        <v>139</v>
      </c>
      <c r="B84" s="1" t="s">
        <v>41</v>
      </c>
      <c r="C84" s="1" t="s">
        <v>240</v>
      </c>
      <c r="D84" s="1">
        <v>5.0000000000000001E-3</v>
      </c>
      <c r="F84" s="1">
        <v>1</v>
      </c>
      <c r="G84" s="1" t="s">
        <v>241</v>
      </c>
      <c r="H84" s="1">
        <v>0</v>
      </c>
      <c r="I84" s="1" t="s">
        <v>13</v>
      </c>
      <c r="J84" s="1" t="s">
        <v>61</v>
      </c>
      <c r="K84" s="1">
        <v>0.95</v>
      </c>
      <c r="L84" s="1">
        <v>4</v>
      </c>
      <c r="M84" s="1" t="s">
        <v>45</v>
      </c>
      <c r="N84" s="1" t="s">
        <v>46</v>
      </c>
      <c r="O84" s="1">
        <v>3</v>
      </c>
      <c r="P84" s="1">
        <v>9</v>
      </c>
      <c r="Q84" s="1">
        <v>8.5</v>
      </c>
      <c r="R84" s="1" t="s">
        <v>46</v>
      </c>
      <c r="S84" s="1">
        <v>5.0000000000000001E-3</v>
      </c>
      <c r="T84" s="1">
        <v>5.4252270000000003E-3</v>
      </c>
      <c r="U84" s="1">
        <v>2.7126139999999999E-3</v>
      </c>
      <c r="W84" s="1">
        <v>0.49636358800000002</v>
      </c>
      <c r="X84" s="1">
        <v>5</v>
      </c>
      <c r="Y84" s="1" t="s">
        <v>45</v>
      </c>
      <c r="Z84" s="1" t="s">
        <v>46</v>
      </c>
      <c r="AA84" s="1">
        <v>3</v>
      </c>
      <c r="AB84" s="1">
        <v>12</v>
      </c>
      <c r="AC84" s="1">
        <v>13.06</v>
      </c>
      <c r="AD84" s="1" t="s">
        <v>46</v>
      </c>
      <c r="AE84" s="1">
        <v>0</v>
      </c>
      <c r="AF84" s="1">
        <v>4.3546399999999999E-4</v>
      </c>
      <c r="AG84" s="1">
        <v>2.1773199999999999E-4</v>
      </c>
      <c r="AH84" s="1">
        <v>0.50515126799999999</v>
      </c>
      <c r="AI84" s="1">
        <v>5.4252270000000003E-3</v>
      </c>
      <c r="AJ84" s="1">
        <f t="shared" si="2"/>
        <v>2.1773199999999999E-4</v>
      </c>
    </row>
    <row r="85" spans="1:82" x14ac:dyDescent="0.3">
      <c r="A85" s="1">
        <v>140</v>
      </c>
      <c r="B85" s="1" t="s">
        <v>116</v>
      </c>
      <c r="C85" s="1" t="s">
        <v>242</v>
      </c>
      <c r="D85" s="1" t="s">
        <v>243</v>
      </c>
      <c r="G85" s="1" t="s">
        <v>244</v>
      </c>
      <c r="H85" s="1">
        <v>0.78700000000000003</v>
      </c>
      <c r="I85" s="1" t="s">
        <v>13</v>
      </c>
      <c r="J85" s="1" t="s">
        <v>44</v>
      </c>
      <c r="K85" s="1">
        <v>0.95</v>
      </c>
      <c r="L85" s="1">
        <v>84</v>
      </c>
      <c r="M85" s="1" t="s">
        <v>45</v>
      </c>
      <c r="N85" s="1" t="s">
        <v>46</v>
      </c>
      <c r="O85" s="1">
        <v>2</v>
      </c>
      <c r="P85" s="1">
        <v>81</v>
      </c>
      <c r="Q85" s="1">
        <v>4.97</v>
      </c>
      <c r="R85" s="1" t="s">
        <v>189</v>
      </c>
      <c r="S85" s="1">
        <v>0.95</v>
      </c>
      <c r="T85" s="1">
        <v>9.2059329999999995E-3</v>
      </c>
      <c r="U85" s="1">
        <v>9.2059329999999995E-3</v>
      </c>
      <c r="W85" s="1">
        <v>0.23377642800000001</v>
      </c>
      <c r="X85" s="1">
        <v>125</v>
      </c>
      <c r="Y85" s="1" t="s">
        <v>45</v>
      </c>
      <c r="Z85" s="1" t="s">
        <v>46</v>
      </c>
      <c r="AA85" s="1">
        <v>2</v>
      </c>
      <c r="AB85" s="1">
        <v>122</v>
      </c>
      <c r="AC85" s="1">
        <v>0.24</v>
      </c>
      <c r="AD85" s="1" t="s">
        <v>46</v>
      </c>
      <c r="AE85" s="1">
        <v>0.78700000000000003</v>
      </c>
      <c r="AF85" s="1">
        <v>0.78699836899999998</v>
      </c>
      <c r="AG85" s="1">
        <v>0.78699836899999998</v>
      </c>
      <c r="AH85" s="1">
        <v>4.4266280999999998E-2</v>
      </c>
      <c r="AI85" s="1">
        <v>9.2059329999999995E-3</v>
      </c>
      <c r="AJ85" s="1">
        <f t="shared" si="2"/>
        <v>0.39349918449999999</v>
      </c>
    </row>
    <row r="86" spans="1:82" x14ac:dyDescent="0.3">
      <c r="A86" s="1">
        <v>142</v>
      </c>
      <c r="B86" s="1" t="s">
        <v>116</v>
      </c>
      <c r="C86" s="1" t="s">
        <v>245</v>
      </c>
      <c r="D86" s="1" t="s">
        <v>66</v>
      </c>
      <c r="G86" s="1" t="s">
        <v>246</v>
      </c>
      <c r="H86" s="1" t="s">
        <v>6</v>
      </c>
      <c r="I86" s="1" t="s">
        <v>13</v>
      </c>
      <c r="J86" s="1" t="s">
        <v>61</v>
      </c>
      <c r="K86" s="1">
        <v>0.99</v>
      </c>
      <c r="L86" s="1">
        <v>82</v>
      </c>
      <c r="M86" s="1" t="s">
        <v>45</v>
      </c>
      <c r="N86" s="1" t="s">
        <v>46</v>
      </c>
      <c r="O86" s="1">
        <v>2</v>
      </c>
      <c r="P86" s="1">
        <v>162</v>
      </c>
      <c r="Q86" s="1">
        <v>192.89</v>
      </c>
      <c r="R86" s="1" t="s">
        <v>50</v>
      </c>
      <c r="S86" s="1">
        <v>1E-3</v>
      </c>
      <c r="T86" s="2">
        <v>1.39E-43</v>
      </c>
      <c r="U86" s="2">
        <v>1.39E-43</v>
      </c>
      <c r="W86" s="1">
        <v>0.59340577800000005</v>
      </c>
      <c r="X86" s="1">
        <v>88</v>
      </c>
      <c r="Y86" s="1" t="s">
        <v>45</v>
      </c>
      <c r="Z86" s="1" t="s">
        <v>46</v>
      </c>
      <c r="AA86" s="1">
        <v>2</v>
      </c>
      <c r="AB86" s="1">
        <v>174</v>
      </c>
      <c r="AC86" s="1">
        <v>252.83</v>
      </c>
      <c r="AD86" s="1" t="s">
        <v>50</v>
      </c>
      <c r="AE86" s="1">
        <v>1E-4</v>
      </c>
      <c r="AF86" s="2">
        <v>3.3E-52</v>
      </c>
      <c r="AG86" s="2">
        <v>3.3E-52</v>
      </c>
      <c r="AH86" s="1">
        <v>0.60991378200000002</v>
      </c>
      <c r="AI86" s="2">
        <v>1.39E-43</v>
      </c>
      <c r="AJ86" s="1">
        <f t="shared" si="2"/>
        <v>1.65E-52</v>
      </c>
    </row>
    <row r="87" spans="1:82" x14ac:dyDescent="0.3">
      <c r="A87" s="1">
        <v>143</v>
      </c>
      <c r="B87" s="1" t="s">
        <v>116</v>
      </c>
      <c r="C87" s="1" t="s">
        <v>247</v>
      </c>
      <c r="D87" s="1">
        <v>0.01</v>
      </c>
      <c r="G87" s="1" t="s">
        <v>248</v>
      </c>
      <c r="H87" s="1">
        <v>0.68</v>
      </c>
      <c r="I87" s="1" t="s">
        <v>13</v>
      </c>
      <c r="J87" s="1" t="s">
        <v>44</v>
      </c>
      <c r="K87" s="1">
        <v>0.95</v>
      </c>
      <c r="L87" s="1">
        <v>57</v>
      </c>
      <c r="M87" s="1" t="s">
        <v>45</v>
      </c>
      <c r="N87" s="1" t="s">
        <v>46</v>
      </c>
      <c r="O87" s="1">
        <v>4</v>
      </c>
      <c r="P87" s="1">
        <v>108</v>
      </c>
      <c r="Q87" s="1">
        <v>3.67</v>
      </c>
      <c r="R87" s="1" t="s">
        <v>46</v>
      </c>
      <c r="S87" s="1">
        <v>0.01</v>
      </c>
      <c r="T87" s="1">
        <v>7.6548470000000002E-3</v>
      </c>
      <c r="U87" s="1">
        <v>7.6548470000000002E-3</v>
      </c>
      <c r="W87" s="1">
        <v>0.17296018799999999</v>
      </c>
      <c r="X87" s="1">
        <v>78</v>
      </c>
      <c r="Y87" s="1" t="s">
        <v>45</v>
      </c>
      <c r="Z87" s="1" t="s">
        <v>46</v>
      </c>
      <c r="AA87" s="1">
        <v>4</v>
      </c>
      <c r="AB87" s="1">
        <v>150</v>
      </c>
      <c r="AC87" s="1">
        <v>0.57999999999999996</v>
      </c>
      <c r="AD87" s="1" t="s">
        <v>46</v>
      </c>
      <c r="AE87" s="1">
        <v>0.68</v>
      </c>
      <c r="AF87" s="1">
        <v>0.67758122300000001</v>
      </c>
      <c r="AG87" s="1">
        <v>0.67758122300000001</v>
      </c>
      <c r="AH87" s="1">
        <v>6.1707155999999999E-2</v>
      </c>
      <c r="AI87" s="1">
        <v>7.6548470000000002E-3</v>
      </c>
      <c r="AJ87" s="1">
        <f t="shared" si="2"/>
        <v>0.33879061150000001</v>
      </c>
    </row>
    <row r="88" spans="1:82" x14ac:dyDescent="0.3">
      <c r="A88" s="1">
        <v>145</v>
      </c>
      <c r="B88" s="1" t="s">
        <v>116</v>
      </c>
      <c r="C88" s="1" t="s">
        <v>249</v>
      </c>
      <c r="D88" s="1">
        <v>0</v>
      </c>
      <c r="E88" s="1">
        <v>2</v>
      </c>
      <c r="F88" s="1">
        <v>2</v>
      </c>
      <c r="G88" s="1" t="s">
        <v>250</v>
      </c>
      <c r="H88" s="1">
        <v>1E-4</v>
      </c>
      <c r="I88" s="1" t="s">
        <v>13</v>
      </c>
      <c r="J88" s="1" t="s">
        <v>61</v>
      </c>
      <c r="K88" s="1">
        <v>0.99</v>
      </c>
      <c r="L88" s="1">
        <v>80</v>
      </c>
      <c r="M88" s="1" t="s">
        <v>45</v>
      </c>
      <c r="N88" s="1" t="s">
        <v>46</v>
      </c>
      <c r="O88" s="1">
        <v>1</v>
      </c>
      <c r="P88" s="1">
        <v>76</v>
      </c>
      <c r="Q88" s="1">
        <v>109.74</v>
      </c>
      <c r="R88" s="1" t="s">
        <v>46</v>
      </c>
      <c r="S88" s="2">
        <v>0</v>
      </c>
      <c r="T88" s="2">
        <v>2.1000000000000001E-16</v>
      </c>
      <c r="U88" s="2">
        <v>2.1000000000000001E-16</v>
      </c>
      <c r="W88" s="1">
        <v>0.76865199299999998</v>
      </c>
      <c r="X88" s="1">
        <v>40</v>
      </c>
      <c r="Y88" s="1" t="s">
        <v>45</v>
      </c>
      <c r="Z88" s="1" t="s">
        <v>46</v>
      </c>
      <c r="AA88" s="1">
        <v>1</v>
      </c>
      <c r="AB88" s="1">
        <v>36</v>
      </c>
      <c r="AC88" s="1">
        <v>26.76</v>
      </c>
      <c r="AD88" s="1" t="s">
        <v>46</v>
      </c>
      <c r="AE88" s="1">
        <v>1E-4</v>
      </c>
      <c r="AF88" s="2">
        <v>8.85E-6</v>
      </c>
      <c r="AG88" s="2">
        <v>8.85E-6</v>
      </c>
      <c r="AH88" s="1">
        <v>0.65298256700000001</v>
      </c>
      <c r="AI88" s="2">
        <v>2.1000000000000001E-16</v>
      </c>
      <c r="AJ88" s="1">
        <f t="shared" si="2"/>
        <v>4.425E-6</v>
      </c>
    </row>
    <row r="89" spans="1:82" x14ac:dyDescent="0.3">
      <c r="A89" s="1">
        <v>146</v>
      </c>
      <c r="B89" s="1" t="s">
        <v>41</v>
      </c>
      <c r="C89" s="1" t="s">
        <v>251</v>
      </c>
      <c r="D89" s="1" t="s">
        <v>252</v>
      </c>
      <c r="E89" s="1">
        <v>2</v>
      </c>
      <c r="F89" s="1">
        <v>2</v>
      </c>
      <c r="G89" s="1" t="s">
        <v>253</v>
      </c>
      <c r="H89" s="1">
        <v>0.09</v>
      </c>
      <c r="I89" s="1" t="s">
        <v>13</v>
      </c>
      <c r="J89" s="1" t="s">
        <v>44</v>
      </c>
      <c r="K89" s="1">
        <v>0.8</v>
      </c>
      <c r="L89" s="1">
        <v>30</v>
      </c>
      <c r="M89" s="1" t="s">
        <v>62</v>
      </c>
      <c r="N89" s="1" t="s">
        <v>46</v>
      </c>
      <c r="O89" s="1">
        <v>1</v>
      </c>
      <c r="P89" s="1">
        <v>14</v>
      </c>
      <c r="Q89" s="1">
        <v>3.2</v>
      </c>
      <c r="R89" s="1" t="s">
        <v>50</v>
      </c>
      <c r="S89" s="1">
        <v>7.0000000000000001E-3</v>
      </c>
      <c r="T89" s="1">
        <v>6.4205410000000001E-3</v>
      </c>
      <c r="U89" s="1">
        <v>6.4205410000000001E-3</v>
      </c>
      <c r="W89" s="1">
        <v>0.64995557100000001</v>
      </c>
      <c r="X89" s="1">
        <v>24</v>
      </c>
      <c r="Y89" s="1" t="s">
        <v>62</v>
      </c>
      <c r="Z89" s="1" t="s">
        <v>46</v>
      </c>
      <c r="AA89" s="1">
        <v>1</v>
      </c>
      <c r="AB89" s="1">
        <v>11</v>
      </c>
      <c r="AC89" s="1">
        <v>1.9</v>
      </c>
      <c r="AD89" s="1" t="s">
        <v>46</v>
      </c>
      <c r="AE89" s="1">
        <v>0.09</v>
      </c>
      <c r="AF89" s="1">
        <v>8.3950437000000003E-2</v>
      </c>
      <c r="AG89" s="1">
        <v>8.3950437000000003E-2</v>
      </c>
      <c r="AH89" s="1">
        <v>0.49708252200000003</v>
      </c>
      <c r="AI89" s="1">
        <v>6.4205410000000001E-3</v>
      </c>
      <c r="AJ89" s="1">
        <f t="shared" si="2"/>
        <v>4.1975218500000001E-2</v>
      </c>
    </row>
    <row r="90" spans="1:82" x14ac:dyDescent="0.3">
      <c r="A90" s="10">
        <v>148</v>
      </c>
      <c r="B90" s="10" t="s">
        <v>116</v>
      </c>
      <c r="C90" s="10" t="s">
        <v>254</v>
      </c>
      <c r="D90" s="10">
        <v>8.0000000000000002E-3</v>
      </c>
      <c r="E90" s="10"/>
      <c r="F90" s="10"/>
      <c r="G90" s="10" t="s">
        <v>255</v>
      </c>
      <c r="H90" s="10">
        <v>0.628</v>
      </c>
      <c r="I90" s="10" t="s">
        <v>14</v>
      </c>
      <c r="J90" s="10" t="s">
        <v>44</v>
      </c>
      <c r="K90" s="10">
        <v>0.99</v>
      </c>
      <c r="L90" s="10">
        <v>208</v>
      </c>
      <c r="M90" s="10" t="s">
        <v>45</v>
      </c>
      <c r="N90" s="10" t="s">
        <v>46</v>
      </c>
      <c r="O90" s="10">
        <v>1</v>
      </c>
      <c r="P90" s="10">
        <v>194</v>
      </c>
      <c r="Q90" s="10">
        <v>7.16</v>
      </c>
      <c r="R90" s="10" t="s">
        <v>46</v>
      </c>
      <c r="S90" s="10">
        <v>8.0000000000000002E-3</v>
      </c>
      <c r="T90" s="10">
        <v>8.0920309999999995E-3</v>
      </c>
      <c r="U90" s="10">
        <v>8.0920309999999995E-3</v>
      </c>
      <c r="V90" s="10"/>
      <c r="W90" s="10">
        <v>0.18866254900000001</v>
      </c>
      <c r="X90" s="10">
        <v>263</v>
      </c>
      <c r="Y90" s="10" t="s">
        <v>45</v>
      </c>
      <c r="Z90" s="10" t="s">
        <v>46</v>
      </c>
      <c r="AA90" s="10">
        <v>1</v>
      </c>
      <c r="AB90" s="10">
        <v>259</v>
      </c>
      <c r="AC90" s="10">
        <v>0.23599999999999999</v>
      </c>
      <c r="AD90" s="10" t="s">
        <v>46</v>
      </c>
      <c r="AE90" s="10">
        <v>0.628</v>
      </c>
      <c r="AF90" s="10">
        <v>0.62752089600000005</v>
      </c>
      <c r="AG90" s="10">
        <v>0.62752089600000005</v>
      </c>
      <c r="AH90" s="10">
        <v>-3.0172294999999998E-2</v>
      </c>
      <c r="AI90" s="10">
        <v>8.0920309999999995E-3</v>
      </c>
      <c r="AJ90" s="10">
        <f t="shared" si="2"/>
        <v>0.68623955199999997</v>
      </c>
    </row>
    <row r="91" spans="1:82" x14ac:dyDescent="0.3">
      <c r="A91" s="1">
        <v>149</v>
      </c>
      <c r="B91" s="1" t="s">
        <v>116</v>
      </c>
      <c r="C91" s="1" t="s">
        <v>254</v>
      </c>
      <c r="D91" s="1">
        <v>8.0000000000000002E-3</v>
      </c>
      <c r="G91" s="1" t="s">
        <v>256</v>
      </c>
      <c r="H91" s="1">
        <v>0.746</v>
      </c>
      <c r="I91" s="1" t="s">
        <v>13</v>
      </c>
      <c r="J91" s="1" t="s">
        <v>44</v>
      </c>
      <c r="K91" s="1">
        <v>0.99</v>
      </c>
      <c r="L91" s="1">
        <v>208</v>
      </c>
      <c r="M91" s="1" t="s">
        <v>45</v>
      </c>
      <c r="N91" s="1" t="s">
        <v>46</v>
      </c>
      <c r="O91" s="1">
        <v>1</v>
      </c>
      <c r="P91" s="1">
        <v>194</v>
      </c>
      <c r="Q91" s="1">
        <v>7.16</v>
      </c>
      <c r="R91" s="1" t="s">
        <v>46</v>
      </c>
      <c r="S91" s="1">
        <v>8.0000000000000002E-3</v>
      </c>
      <c r="T91" s="1">
        <v>8.0920309999999995E-3</v>
      </c>
      <c r="U91" s="1">
        <v>8.0920309999999995E-3</v>
      </c>
      <c r="W91" s="1">
        <v>0.18866254900000001</v>
      </c>
      <c r="X91" s="1">
        <v>318</v>
      </c>
      <c r="Y91" s="1" t="s">
        <v>45</v>
      </c>
      <c r="Z91" s="1" t="s">
        <v>46</v>
      </c>
      <c r="AA91" s="1">
        <v>1</v>
      </c>
      <c r="AB91" s="1">
        <v>314</v>
      </c>
      <c r="AC91" s="1">
        <v>0.105</v>
      </c>
      <c r="AD91" s="1" t="s">
        <v>46</v>
      </c>
      <c r="AE91" s="1">
        <v>0.746</v>
      </c>
      <c r="AF91" s="1">
        <v>0.74612573000000004</v>
      </c>
      <c r="AG91" s="1">
        <v>0.74612573000000004</v>
      </c>
      <c r="AH91" s="1">
        <v>1.8283410999999999E-2</v>
      </c>
      <c r="AI91" s="1">
        <v>8.0920309999999995E-3</v>
      </c>
      <c r="AJ91" s="1">
        <f t="shared" si="2"/>
        <v>0.37306286500000002</v>
      </c>
    </row>
    <row r="92" spans="1:82" x14ac:dyDescent="0.3">
      <c r="A92" s="1">
        <v>150</v>
      </c>
      <c r="B92" s="1" t="s">
        <v>41</v>
      </c>
      <c r="C92" s="1" t="s">
        <v>257</v>
      </c>
      <c r="D92" s="1" t="s">
        <v>201</v>
      </c>
      <c r="G92" s="1" t="s">
        <v>258</v>
      </c>
      <c r="H92" s="1">
        <v>0.36899999999999999</v>
      </c>
      <c r="I92" s="1" t="s">
        <v>13</v>
      </c>
      <c r="J92" s="1" t="s">
        <v>44</v>
      </c>
      <c r="K92" s="1">
        <v>0.98</v>
      </c>
      <c r="L92" s="1">
        <v>14</v>
      </c>
      <c r="M92" s="1" t="s">
        <v>45</v>
      </c>
      <c r="N92" s="1" t="s">
        <v>46</v>
      </c>
      <c r="O92" s="1">
        <v>1</v>
      </c>
      <c r="P92" s="1">
        <v>13</v>
      </c>
      <c r="Q92" s="1">
        <v>14.2</v>
      </c>
      <c r="R92" s="1" t="s">
        <v>189</v>
      </c>
      <c r="S92" s="1">
        <v>0.99</v>
      </c>
      <c r="T92" s="1">
        <v>2.3444690000000001E-3</v>
      </c>
      <c r="U92" s="1">
        <v>2.3444690000000001E-3</v>
      </c>
      <c r="W92" s="1">
        <v>0.72253638200000003</v>
      </c>
      <c r="X92" s="1">
        <v>19</v>
      </c>
      <c r="Y92" s="1" t="s">
        <v>45</v>
      </c>
      <c r="Z92" s="1" t="s">
        <v>46</v>
      </c>
      <c r="AA92" s="1">
        <v>1</v>
      </c>
      <c r="AB92" s="1">
        <v>18</v>
      </c>
      <c r="AC92" s="1">
        <v>0.81</v>
      </c>
      <c r="AD92" s="1" t="s">
        <v>46</v>
      </c>
      <c r="AE92" s="1">
        <v>0.36899999999999999</v>
      </c>
      <c r="AF92" s="1">
        <v>0.380003702</v>
      </c>
      <c r="AG92" s="1">
        <v>0.380003702</v>
      </c>
      <c r="AH92" s="1">
        <v>0.20751433899999999</v>
      </c>
      <c r="AI92" s="1">
        <v>2.3444690000000001E-3</v>
      </c>
      <c r="AJ92" s="1">
        <f t="shared" si="2"/>
        <v>0.190001851</v>
      </c>
    </row>
    <row r="93" spans="1:82" x14ac:dyDescent="0.3">
      <c r="A93" s="1">
        <v>151</v>
      </c>
      <c r="B93" s="1" t="s">
        <v>116</v>
      </c>
      <c r="C93" s="1" t="s">
        <v>259</v>
      </c>
      <c r="D93" s="1" t="s">
        <v>204</v>
      </c>
      <c r="G93" s="1" t="s">
        <v>260</v>
      </c>
      <c r="H93" s="1">
        <v>0.97</v>
      </c>
      <c r="I93" s="1" t="s">
        <v>13</v>
      </c>
      <c r="J93" s="1" t="s">
        <v>44</v>
      </c>
      <c r="K93" s="1">
        <v>0.99</v>
      </c>
      <c r="L93" s="1">
        <v>43</v>
      </c>
      <c r="M93" s="1" t="s">
        <v>45</v>
      </c>
      <c r="N93" s="1" t="s">
        <v>46</v>
      </c>
      <c r="O93" s="1">
        <v>1</v>
      </c>
      <c r="P93" s="1">
        <v>41</v>
      </c>
      <c r="Q93" s="1">
        <v>7.81</v>
      </c>
      <c r="R93" s="1" t="s">
        <v>189</v>
      </c>
      <c r="S93" s="1">
        <v>0.97</v>
      </c>
      <c r="T93" s="1">
        <v>7.8669670000000008E-3</v>
      </c>
      <c r="U93" s="1">
        <v>7.8669670000000008E-3</v>
      </c>
      <c r="W93" s="1">
        <v>0.40001024400000001</v>
      </c>
      <c r="X93" s="1">
        <v>126</v>
      </c>
      <c r="Y93" s="1" t="s">
        <v>45</v>
      </c>
      <c r="Z93" s="1" t="s">
        <v>46</v>
      </c>
      <c r="AA93" s="1">
        <v>1</v>
      </c>
      <c r="AB93" s="1">
        <v>124</v>
      </c>
      <c r="AC93" s="1">
        <v>1E-3</v>
      </c>
      <c r="AD93" s="1" t="s">
        <v>46</v>
      </c>
      <c r="AE93" s="1">
        <v>0.97</v>
      </c>
      <c r="AF93" s="1">
        <v>0.97482372299999998</v>
      </c>
      <c r="AG93" s="1">
        <v>0.97482372299999998</v>
      </c>
      <c r="AH93" s="1">
        <v>2.8397980000000001E-3</v>
      </c>
      <c r="AI93" s="1">
        <v>7.8669670000000008E-3</v>
      </c>
      <c r="AJ93" s="1">
        <f t="shared" si="2"/>
        <v>0.48741186149999999</v>
      </c>
    </row>
    <row r="94" spans="1:82" s="3" customFormat="1" x14ac:dyDescent="0.3">
      <c r="A94" s="1">
        <v>153</v>
      </c>
      <c r="B94" s="1" t="s">
        <v>41</v>
      </c>
      <c r="C94" s="1" t="s">
        <v>261</v>
      </c>
      <c r="D94" s="1" t="s">
        <v>66</v>
      </c>
      <c r="E94" s="1"/>
      <c r="F94" s="1"/>
      <c r="G94" s="1" t="s">
        <v>262</v>
      </c>
      <c r="H94" s="1">
        <v>0.76</v>
      </c>
      <c r="I94" s="1" t="s">
        <v>13</v>
      </c>
      <c r="J94" s="1" t="s">
        <v>44</v>
      </c>
      <c r="K94" s="1">
        <v>0.96</v>
      </c>
      <c r="L94" s="1">
        <v>8</v>
      </c>
      <c r="M94" s="1" t="s">
        <v>62</v>
      </c>
      <c r="N94" s="1" t="s">
        <v>46</v>
      </c>
      <c r="O94" s="1">
        <v>1</v>
      </c>
      <c r="P94" s="1">
        <v>7</v>
      </c>
      <c r="Q94" s="1">
        <v>4.45</v>
      </c>
      <c r="R94" s="1" t="s">
        <v>50</v>
      </c>
      <c r="S94" s="1">
        <v>1E-3</v>
      </c>
      <c r="T94" s="1">
        <v>2.9716410000000001E-3</v>
      </c>
      <c r="U94" s="1">
        <v>2.9716410000000001E-3</v>
      </c>
      <c r="V94" s="1"/>
      <c r="W94" s="1">
        <v>0.85955240300000002</v>
      </c>
      <c r="X94" s="1">
        <v>8</v>
      </c>
      <c r="Y94" s="1" t="s">
        <v>62</v>
      </c>
      <c r="Z94" s="1" t="s">
        <v>46</v>
      </c>
      <c r="AA94" s="1">
        <v>1</v>
      </c>
      <c r="AB94" s="1">
        <v>7</v>
      </c>
      <c r="AC94" s="1">
        <v>0.32</v>
      </c>
      <c r="AD94" s="1" t="s">
        <v>46</v>
      </c>
      <c r="AE94" s="1">
        <v>0.76</v>
      </c>
      <c r="AF94" s="1">
        <v>0.75830804399999996</v>
      </c>
      <c r="AG94" s="1">
        <v>0.75830804399999996</v>
      </c>
      <c r="AH94" s="1">
        <v>0.12007356800000001</v>
      </c>
      <c r="AI94" s="1">
        <v>2.9716410000000001E-3</v>
      </c>
      <c r="AJ94" s="1">
        <f t="shared" si="2"/>
        <v>0.37915402199999998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spans="1:82" x14ac:dyDescent="0.3">
      <c r="A95" s="1">
        <v>154</v>
      </c>
      <c r="B95" s="1" t="s">
        <v>116</v>
      </c>
      <c r="C95" s="1" t="s">
        <v>263</v>
      </c>
      <c r="D95" s="1" t="s">
        <v>7</v>
      </c>
      <c r="E95" s="1">
        <v>2</v>
      </c>
      <c r="F95" s="1">
        <v>2</v>
      </c>
      <c r="G95" s="1" t="s">
        <v>264</v>
      </c>
      <c r="H95" s="1" t="s">
        <v>7</v>
      </c>
      <c r="I95" s="1" t="s">
        <v>13</v>
      </c>
      <c r="J95" s="1" t="s">
        <v>61</v>
      </c>
      <c r="K95" s="1" t="s">
        <v>7</v>
      </c>
      <c r="L95" s="1">
        <v>70</v>
      </c>
      <c r="M95" s="1" t="s">
        <v>112</v>
      </c>
      <c r="N95" s="1" t="s">
        <v>46</v>
      </c>
      <c r="Q95" s="1">
        <v>-0.43</v>
      </c>
      <c r="T95" s="1">
        <v>1.6693799999999999E-4</v>
      </c>
      <c r="U95" s="1">
        <v>1.6693799999999999E-4</v>
      </c>
      <c r="W95" s="1">
        <v>0.43</v>
      </c>
      <c r="X95" s="1">
        <v>16</v>
      </c>
      <c r="Y95" s="1" t="s">
        <v>112</v>
      </c>
      <c r="Z95" s="1" t="s">
        <v>46</v>
      </c>
      <c r="AC95" s="1">
        <v>-0.11</v>
      </c>
      <c r="AF95" s="1">
        <v>0.69046653700000005</v>
      </c>
      <c r="AG95" s="1">
        <v>0.69046653700000005</v>
      </c>
      <c r="AH95" s="1">
        <v>0.11</v>
      </c>
      <c r="AI95" s="1">
        <v>1.6693799999999999E-4</v>
      </c>
      <c r="AJ95" s="1">
        <f t="shared" si="2"/>
        <v>0.34523326850000002</v>
      </c>
    </row>
    <row r="96" spans="1:82" x14ac:dyDescent="0.3">
      <c r="A96" s="10">
        <v>155</v>
      </c>
      <c r="B96" s="10" t="s">
        <v>116</v>
      </c>
      <c r="C96" s="10" t="s">
        <v>265</v>
      </c>
      <c r="D96" s="10" t="s">
        <v>74</v>
      </c>
      <c r="E96" s="10"/>
      <c r="F96" s="10">
        <v>2</v>
      </c>
      <c r="G96" s="10" t="s">
        <v>266</v>
      </c>
      <c r="H96" s="10">
        <v>0.78</v>
      </c>
      <c r="I96" s="10" t="s">
        <v>14</v>
      </c>
      <c r="J96" s="10" t="s">
        <v>44</v>
      </c>
      <c r="K96" s="10">
        <v>0.76</v>
      </c>
      <c r="L96" s="10">
        <v>53</v>
      </c>
      <c r="M96" s="10" t="s">
        <v>112</v>
      </c>
      <c r="N96" s="10" t="s">
        <v>46</v>
      </c>
      <c r="O96" s="10"/>
      <c r="P96" s="10"/>
      <c r="Q96" s="10">
        <v>-0.31</v>
      </c>
      <c r="R96" s="10" t="s">
        <v>50</v>
      </c>
      <c r="S96" s="10">
        <v>0.05</v>
      </c>
      <c r="T96" s="10">
        <v>2.3414773999999999E-2</v>
      </c>
      <c r="U96" s="10">
        <v>2.3414773999999999E-2</v>
      </c>
      <c r="V96" s="10"/>
      <c r="W96" s="10">
        <v>0.31</v>
      </c>
      <c r="X96" s="10">
        <v>72</v>
      </c>
      <c r="Y96" s="10" t="s">
        <v>112</v>
      </c>
      <c r="Z96" s="10" t="s">
        <v>46</v>
      </c>
      <c r="AA96" s="10"/>
      <c r="AB96" s="10"/>
      <c r="AC96" s="10">
        <v>3.4000000000000002E-2</v>
      </c>
      <c r="AD96" s="10" t="s">
        <v>46</v>
      </c>
      <c r="AE96" s="10">
        <v>0.78</v>
      </c>
      <c r="AF96" s="10">
        <v>0.77753399199999995</v>
      </c>
      <c r="AG96" s="10">
        <v>0.77753399199999995</v>
      </c>
      <c r="AH96" s="10">
        <v>-3.4000000000000002E-2</v>
      </c>
      <c r="AI96" s="10">
        <v>2.3414773999999999E-2</v>
      </c>
      <c r="AJ96" s="10">
        <f t="shared" si="2"/>
        <v>0.61123300400000002</v>
      </c>
    </row>
    <row r="97" spans="1:36" x14ac:dyDescent="0.3">
      <c r="A97" s="1">
        <v>158</v>
      </c>
      <c r="B97" s="1" t="s">
        <v>116</v>
      </c>
      <c r="C97" s="1" t="s">
        <v>267</v>
      </c>
      <c r="D97" s="1" t="s">
        <v>268</v>
      </c>
      <c r="G97" s="1" t="s">
        <v>269</v>
      </c>
      <c r="H97" s="1">
        <v>3.4999999999999997E-5</v>
      </c>
      <c r="I97" s="1" t="s">
        <v>13</v>
      </c>
      <c r="J97" s="1" t="s">
        <v>61</v>
      </c>
      <c r="K97" s="1">
        <v>0.9</v>
      </c>
      <c r="L97" s="1">
        <v>40</v>
      </c>
      <c r="M97" s="1" t="s">
        <v>45</v>
      </c>
      <c r="N97" s="1" t="s">
        <v>46</v>
      </c>
      <c r="O97" s="1">
        <v>1</v>
      </c>
      <c r="P97" s="1">
        <v>38</v>
      </c>
      <c r="Q97" s="1">
        <v>6.21</v>
      </c>
      <c r="R97" s="1" t="s">
        <v>189</v>
      </c>
      <c r="S97" s="1">
        <v>0.92700000000000005</v>
      </c>
      <c r="T97" s="1">
        <v>1.7182464000000001E-2</v>
      </c>
      <c r="U97" s="1">
        <v>1.7182464000000001E-2</v>
      </c>
      <c r="W97" s="1">
        <v>0.37478788400000002</v>
      </c>
      <c r="X97" s="1">
        <v>95</v>
      </c>
      <c r="Y97" s="1" t="s">
        <v>45</v>
      </c>
      <c r="Z97" s="1" t="s">
        <v>46</v>
      </c>
      <c r="AA97" s="1">
        <v>1</v>
      </c>
      <c r="AB97" s="1">
        <v>93</v>
      </c>
      <c r="AC97" s="1">
        <v>18.940000000000001</v>
      </c>
      <c r="AD97" s="1" t="s">
        <v>46</v>
      </c>
      <c r="AE97" s="1">
        <v>3.4999999999999997E-5</v>
      </c>
      <c r="AF97" s="2">
        <v>3.4600000000000001E-5</v>
      </c>
      <c r="AG97" s="2">
        <v>3.4600000000000001E-5</v>
      </c>
      <c r="AH97" s="1">
        <v>0.41133658299999998</v>
      </c>
      <c r="AI97" s="1">
        <v>1.7182464000000001E-2</v>
      </c>
      <c r="AJ97" s="1">
        <f t="shared" si="2"/>
        <v>1.73E-5</v>
      </c>
    </row>
    <row r="98" spans="1:36" x14ac:dyDescent="0.3">
      <c r="A98" s="1">
        <v>161</v>
      </c>
      <c r="B98" s="1" t="s">
        <v>41</v>
      </c>
      <c r="C98" s="1" t="s">
        <v>270</v>
      </c>
      <c r="D98" s="1" t="s">
        <v>68</v>
      </c>
      <c r="F98" s="1">
        <v>2</v>
      </c>
      <c r="G98" s="1" t="s">
        <v>271</v>
      </c>
      <c r="H98" s="1">
        <v>0.23699999999999999</v>
      </c>
      <c r="I98" s="1" t="s">
        <v>13</v>
      </c>
      <c r="J98" s="1" t="s">
        <v>44</v>
      </c>
      <c r="K98" s="1">
        <v>0.9</v>
      </c>
      <c r="L98" s="1">
        <v>48</v>
      </c>
      <c r="M98" s="1" t="s">
        <v>45</v>
      </c>
      <c r="N98" s="1" t="s">
        <v>46</v>
      </c>
      <c r="O98" s="1">
        <v>1</v>
      </c>
      <c r="P98" s="1">
        <v>44</v>
      </c>
      <c r="Q98" s="1">
        <v>13.42</v>
      </c>
      <c r="R98" s="1" t="s">
        <v>50</v>
      </c>
      <c r="S98" s="1">
        <v>0.01</v>
      </c>
      <c r="T98" s="1">
        <v>6.6537900000000001E-4</v>
      </c>
      <c r="U98" s="1">
        <v>6.6537900000000001E-4</v>
      </c>
      <c r="W98" s="1">
        <v>0.48344231799999998</v>
      </c>
      <c r="X98" s="1">
        <v>48</v>
      </c>
      <c r="Y98" s="1" t="s">
        <v>45</v>
      </c>
      <c r="Z98" s="1" t="s">
        <v>46</v>
      </c>
      <c r="AA98" s="1">
        <v>1</v>
      </c>
      <c r="AB98" s="1">
        <v>44</v>
      </c>
      <c r="AC98" s="1">
        <v>1.4370000000000001</v>
      </c>
      <c r="AD98" s="1" t="s">
        <v>46</v>
      </c>
      <c r="AE98" s="1">
        <v>0.23699999999999999</v>
      </c>
      <c r="AF98" s="1">
        <v>0.23704196199999999</v>
      </c>
      <c r="AG98" s="1">
        <v>0.23704196199999999</v>
      </c>
      <c r="AH98" s="1">
        <v>0.17783758799999999</v>
      </c>
      <c r="AI98" s="1">
        <v>6.6537900000000001E-4</v>
      </c>
      <c r="AJ98" s="1">
        <f t="shared" si="2"/>
        <v>0.118520981</v>
      </c>
    </row>
    <row r="99" spans="1:36" x14ac:dyDescent="0.3">
      <c r="A99" s="10">
        <v>165</v>
      </c>
      <c r="B99" s="10" t="s">
        <v>116</v>
      </c>
      <c r="C99" s="10" t="s">
        <v>272</v>
      </c>
      <c r="D99" s="10">
        <v>3.6999999999999998E-2</v>
      </c>
      <c r="E99" s="10"/>
      <c r="F99" s="10"/>
      <c r="G99" s="10" t="s">
        <v>273</v>
      </c>
      <c r="H99" s="10">
        <v>0.21</v>
      </c>
      <c r="I99" s="10" t="s">
        <v>14</v>
      </c>
      <c r="J99" s="10" t="s">
        <v>44</v>
      </c>
      <c r="K99" s="10">
        <v>0.68</v>
      </c>
      <c r="L99" s="10">
        <v>56</v>
      </c>
      <c r="M99" s="10" t="s">
        <v>149</v>
      </c>
      <c r="N99" s="10" t="s">
        <v>46</v>
      </c>
      <c r="O99" s="10">
        <v>1</v>
      </c>
      <c r="P99" s="10"/>
      <c r="Q99" s="10">
        <v>4.51</v>
      </c>
      <c r="R99" s="10" t="s">
        <v>46</v>
      </c>
      <c r="S99" s="10">
        <v>3.6999999999999998E-2</v>
      </c>
      <c r="T99" s="10">
        <v>3.3697241000000003E-2</v>
      </c>
      <c r="U99" s="10">
        <v>3.3697241000000003E-2</v>
      </c>
      <c r="V99" s="10"/>
      <c r="W99" s="10">
        <v>0.28378815000000002</v>
      </c>
      <c r="X99" s="10">
        <v>51</v>
      </c>
      <c r="Y99" s="10" t="s">
        <v>149</v>
      </c>
      <c r="Z99" s="10" t="s">
        <v>46</v>
      </c>
      <c r="AA99" s="10">
        <v>1</v>
      </c>
      <c r="AB99" s="10"/>
      <c r="AC99" s="10">
        <v>1.57</v>
      </c>
      <c r="AD99" s="10" t="s">
        <v>46</v>
      </c>
      <c r="AE99" s="10">
        <v>0.21</v>
      </c>
      <c r="AF99" s="10">
        <v>0.210207014</v>
      </c>
      <c r="AG99" s="10">
        <v>0.210207014</v>
      </c>
      <c r="AH99" s="10">
        <v>-0.17545459199999999</v>
      </c>
      <c r="AI99" s="10">
        <v>3.3697241000000003E-2</v>
      </c>
      <c r="AJ99" s="10">
        <f t="shared" si="2"/>
        <v>0.89489649299999996</v>
      </c>
    </row>
    <row r="100" spans="1:36" x14ac:dyDescent="0.3">
      <c r="A100" s="1">
        <v>167</v>
      </c>
      <c r="B100" s="1" t="s">
        <v>41</v>
      </c>
      <c r="C100" s="1" t="s">
        <v>274</v>
      </c>
      <c r="D100" s="1" t="s">
        <v>204</v>
      </c>
      <c r="G100" s="1" t="s">
        <v>275</v>
      </c>
      <c r="H100" s="1">
        <v>0.24</v>
      </c>
      <c r="I100" s="1" t="s">
        <v>13</v>
      </c>
      <c r="J100" s="1" t="s">
        <v>44</v>
      </c>
      <c r="K100" s="1">
        <v>0.99</v>
      </c>
      <c r="L100" s="1">
        <v>18</v>
      </c>
      <c r="M100" s="1" t="s">
        <v>45</v>
      </c>
      <c r="N100" s="1" t="s">
        <v>46</v>
      </c>
      <c r="O100" s="1">
        <v>1</v>
      </c>
      <c r="P100" s="1">
        <v>17</v>
      </c>
      <c r="Q100" s="1">
        <v>9.33</v>
      </c>
      <c r="R100" s="1" t="s">
        <v>189</v>
      </c>
      <c r="S100" s="1">
        <v>0.97</v>
      </c>
      <c r="T100" s="1">
        <v>7.1698279999999996E-3</v>
      </c>
      <c r="U100" s="1">
        <v>7.1698279999999996E-3</v>
      </c>
      <c r="W100" s="1">
        <v>0.59527191400000001</v>
      </c>
      <c r="X100" s="1">
        <v>22</v>
      </c>
      <c r="Y100" s="1" t="s">
        <v>45</v>
      </c>
      <c r="Z100" s="1" t="s">
        <v>46</v>
      </c>
      <c r="AA100" s="1">
        <v>1</v>
      </c>
      <c r="AB100" s="1">
        <v>21</v>
      </c>
      <c r="AC100" s="1">
        <v>1.45</v>
      </c>
      <c r="AD100" s="1" t="s">
        <v>46</v>
      </c>
      <c r="AE100" s="1">
        <v>0.24</v>
      </c>
      <c r="AF100" s="1">
        <v>0.241925362</v>
      </c>
      <c r="AG100" s="1">
        <v>0.241925362</v>
      </c>
      <c r="AH100" s="1">
        <v>0.25414164</v>
      </c>
      <c r="AI100" s="1">
        <v>7.1698279999999996E-3</v>
      </c>
      <c r="AJ100" s="1">
        <f t="shared" si="2"/>
        <v>0.120962681</v>
      </c>
    </row>
  </sheetData>
  <sortState xmlns:xlrd2="http://schemas.microsoft.com/office/spreadsheetml/2017/richdata2" ref="A2:AJ100">
    <sortCondition ref="A2:A100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Miller</dc:creator>
  <cp:lastModifiedBy>Jeff Miller</cp:lastModifiedBy>
  <dcterms:created xsi:type="dcterms:W3CDTF">2026-05-19T01:46:11Z</dcterms:created>
  <dcterms:modified xsi:type="dcterms:W3CDTF">2026-05-19T23:03:02Z</dcterms:modified>
</cp:coreProperties>
</file>